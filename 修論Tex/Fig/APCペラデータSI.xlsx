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05" windowWidth="18600" windowHeight="8025"/>
  </bookViews>
  <sheets>
    <sheet name="Sheet1" sheetId="1" r:id="rId1"/>
    <sheet name="A20-22LEVO" sheetId="13" r:id="rId2"/>
    <sheet name="A20-30MEVO" sheetId="22" r:id="rId3"/>
    <sheet name="ZS2213-22" sheetId="15" r:id="rId4"/>
    <sheet name="ZS2209-30" sheetId="18" r:id="rId5"/>
    <sheet name="Z2213-24" sheetId="19" r:id="rId6"/>
    <sheet name="Z2209-32" sheetId="20" r:id="rId7"/>
    <sheet name="Graph" sheetId="21" r:id="rId8"/>
    <sheet name="Sheet8" sheetId="16" r:id="rId9"/>
    <sheet name="Sheet4" sheetId="23" r:id="rId10"/>
    <sheet name="静止推力測定" sheetId="24" r:id="rId11"/>
    <sheet name="卒論向け" sheetId="25" r:id="rId12"/>
    <sheet name="Sheet2" sheetId="26" r:id="rId13"/>
  </sheets>
  <externalReferences>
    <externalReference r:id="rId14"/>
  </externalReferences>
  <calcPr calcId="145621"/>
</workbook>
</file>

<file path=xl/calcChain.xml><?xml version="1.0" encoding="utf-8"?>
<calcChain xmlns="http://schemas.openxmlformats.org/spreadsheetml/2006/main">
  <c r="Z14" i="1" l="1"/>
  <c r="F6" i="26" l="1"/>
  <c r="Y14" i="1" l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36" i="1"/>
  <c r="N36" i="1"/>
  <c r="P14" i="1"/>
  <c r="M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I15" i="1"/>
  <c r="I16" i="1"/>
  <c r="I17" i="1"/>
  <c r="I18" i="1"/>
  <c r="I19" i="1"/>
  <c r="I20" i="1"/>
  <c r="I21" i="1"/>
  <c r="I22" i="1"/>
  <c r="I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14" i="1"/>
  <c r="K15" i="1"/>
  <c r="K16" i="1"/>
  <c r="K17" i="1"/>
  <c r="K18" i="1"/>
  <c r="K19" i="1"/>
  <c r="K20" i="1"/>
  <c r="K21" i="1"/>
  <c r="K22" i="1"/>
  <c r="K14" i="1"/>
  <c r="Y15" i="1" l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14" i="1"/>
  <c r="W14" i="1" s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14" i="1"/>
  <c r="D33" i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14" i="1"/>
  <c r="D14" i="1"/>
  <c r="F33" i="1"/>
  <c r="I19" i="24" l="1"/>
  <c r="I18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6" i="24"/>
  <c r="D25" i="1"/>
  <c r="F15" i="1"/>
  <c r="F16" i="1"/>
  <c r="F17" i="1"/>
  <c r="F18" i="1"/>
  <c r="F19" i="1"/>
  <c r="F20" i="1"/>
  <c r="F21" i="1"/>
  <c r="F22" i="1"/>
  <c r="F23" i="1"/>
  <c r="F14" i="1"/>
  <c r="D15" i="1"/>
  <c r="D16" i="1"/>
  <c r="D17" i="1"/>
  <c r="D18" i="1"/>
  <c r="D19" i="1"/>
  <c r="D20" i="1"/>
  <c r="A22" i="24" l="1"/>
  <c r="D7" i="24"/>
  <c r="D20" i="24"/>
  <c r="D21" i="24"/>
  <c r="D22" i="24"/>
  <c r="D23" i="24"/>
  <c r="A21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3" i="24"/>
  <c r="A24" i="24"/>
  <c r="A25" i="24"/>
  <c r="A6" i="24"/>
  <c r="D25" i="24"/>
  <c r="D6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4" i="24"/>
  <c r="O23" i="21" l="1"/>
  <c r="O24" i="21" s="1"/>
  <c r="T11" i="16" l="1"/>
  <c r="T12" i="16"/>
  <c r="D29" i="13" l="1"/>
  <c r="D29" i="20"/>
  <c r="D30" i="20"/>
  <c r="D28" i="20"/>
  <c r="K5" i="23"/>
  <c r="K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J4" i="23"/>
  <c r="I4" i="23"/>
  <c r="H4" i="23"/>
  <c r="C12" i="23"/>
  <c r="G23" i="23"/>
  <c r="C10" i="23"/>
  <c r="D5" i="1"/>
  <c r="D9" i="1"/>
  <c r="D35" i="22" l="1"/>
  <c r="G6" i="20"/>
  <c r="D32" i="20"/>
  <c r="D35" i="20" s="1"/>
  <c r="D32" i="19"/>
  <c r="D35" i="19" s="1"/>
  <c r="D32" i="18"/>
  <c r="D33" i="18" s="1"/>
  <c r="D32" i="15"/>
  <c r="D32" i="22"/>
  <c r="D32" i="13"/>
  <c r="G27" i="22"/>
  <c r="K27" i="22"/>
  <c r="G28" i="22"/>
  <c r="K28" i="22" s="1"/>
  <c r="F27" i="22"/>
  <c r="F27" i="13"/>
  <c r="F28" i="13"/>
  <c r="D25" i="22"/>
  <c r="D26" i="22" s="1"/>
  <c r="D28" i="22" s="1"/>
  <c r="D29" i="22" s="1"/>
  <c r="F5" i="22"/>
  <c r="F4" i="22"/>
  <c r="K3" i="22"/>
  <c r="I3" i="22"/>
  <c r="D25" i="20"/>
  <c r="D27" i="20" s="1"/>
  <c r="F4" i="20"/>
  <c r="F5" i="20" s="1"/>
  <c r="K3" i="20"/>
  <c r="I3" i="20"/>
  <c r="D25" i="19"/>
  <c r="F4" i="19"/>
  <c r="K3" i="19"/>
  <c r="I3" i="19"/>
  <c r="D35" i="18"/>
  <c r="D25" i="18"/>
  <c r="D27" i="18" s="1"/>
  <c r="F5" i="18"/>
  <c r="F4" i="18"/>
  <c r="K3" i="18"/>
  <c r="I3" i="18"/>
  <c r="C35" i="16"/>
  <c r="C43" i="16" s="1"/>
  <c r="C44" i="16" s="1"/>
  <c r="C39" i="16"/>
  <c r="C40" i="16" s="1"/>
  <c r="F21" i="16"/>
  <c r="D40" i="20" l="1"/>
  <c r="D42" i="20" s="1"/>
  <c r="D43" i="20" s="1"/>
  <c r="D40" i="22"/>
  <c r="D41" i="22" s="1"/>
  <c r="J3" i="20"/>
  <c r="D33" i="20"/>
  <c r="H4" i="20" s="1"/>
  <c r="D33" i="22"/>
  <c r="H4" i="22" s="1"/>
  <c r="D40" i="18"/>
  <c r="D42" i="18" s="1"/>
  <c r="D43" i="18" s="1"/>
  <c r="J3" i="18"/>
  <c r="J3" i="19"/>
  <c r="D40" i="19"/>
  <c r="D41" i="19" s="1"/>
  <c r="J3" i="22"/>
  <c r="D33" i="19"/>
  <c r="D34" i="18"/>
  <c r="H4" i="18"/>
  <c r="D37" i="22"/>
  <c r="D30" i="22"/>
  <c r="G5" i="22" s="1"/>
  <c r="F6" i="22"/>
  <c r="D27" i="22"/>
  <c r="D26" i="20"/>
  <c r="D37" i="20" s="1"/>
  <c r="G4" i="20"/>
  <c r="F6" i="20"/>
  <c r="D26" i="19"/>
  <c r="D28" i="19" s="1"/>
  <c r="D29" i="19" s="1"/>
  <c r="D27" i="19"/>
  <c r="F5" i="19"/>
  <c r="D26" i="18"/>
  <c r="D28" i="18" s="1"/>
  <c r="D29" i="18" s="1"/>
  <c r="D30" i="18" s="1"/>
  <c r="G5" i="18" s="1"/>
  <c r="D37" i="18"/>
  <c r="F6" i="18"/>
  <c r="D41" i="20" l="1"/>
  <c r="D42" i="19"/>
  <c r="D43" i="19" s="1"/>
  <c r="D34" i="22"/>
  <c r="D34" i="20"/>
  <c r="D42" i="22"/>
  <c r="D43" i="22" s="1"/>
  <c r="D41" i="18"/>
  <c r="D34" i="19"/>
  <c r="H4" i="19"/>
  <c r="K5" i="22"/>
  <c r="G4" i="22"/>
  <c r="G6" i="22"/>
  <c r="K6" i="22" s="1"/>
  <c r="F7" i="22"/>
  <c r="F7" i="20"/>
  <c r="K6" i="20"/>
  <c r="I4" i="20"/>
  <c r="J4" i="20" s="1"/>
  <c r="K4" i="20"/>
  <c r="G5" i="20"/>
  <c r="D30" i="19"/>
  <c r="G4" i="19" s="1"/>
  <c r="D37" i="19"/>
  <c r="F6" i="19"/>
  <c r="K5" i="18"/>
  <c r="H5" i="18"/>
  <c r="F7" i="18"/>
  <c r="G6" i="18"/>
  <c r="K6" i="18" s="1"/>
  <c r="G4" i="18"/>
  <c r="K4" i="22" l="1"/>
  <c r="I4" i="22"/>
  <c r="J4" i="22" s="1"/>
  <c r="H5" i="22"/>
  <c r="G7" i="22"/>
  <c r="K7" i="22" s="1"/>
  <c r="F8" i="22"/>
  <c r="K5" i="20"/>
  <c r="H5" i="20"/>
  <c r="F8" i="20"/>
  <c r="G7" i="20"/>
  <c r="K7" i="20" s="1"/>
  <c r="K4" i="19"/>
  <c r="I4" i="19"/>
  <c r="J4" i="19" s="1"/>
  <c r="G6" i="19"/>
  <c r="K6" i="19" s="1"/>
  <c r="F7" i="19"/>
  <c r="G5" i="19"/>
  <c r="F8" i="18"/>
  <c r="G7" i="18"/>
  <c r="K7" i="18" s="1"/>
  <c r="H6" i="18"/>
  <c r="I5" i="18"/>
  <c r="J5" i="18" s="1"/>
  <c r="K4" i="18"/>
  <c r="I4" i="18"/>
  <c r="J4" i="18" s="1"/>
  <c r="H6" i="22" l="1"/>
  <c r="I5" i="22"/>
  <c r="J5" i="22" s="1"/>
  <c r="G8" i="22"/>
  <c r="K8" i="22" s="1"/>
  <c r="F9" i="22"/>
  <c r="F9" i="20"/>
  <c r="G8" i="20"/>
  <c r="K8" i="20" s="1"/>
  <c r="H6" i="20"/>
  <c r="I5" i="20"/>
  <c r="J5" i="20" s="1"/>
  <c r="G7" i="19"/>
  <c r="K7" i="19" s="1"/>
  <c r="F8" i="19"/>
  <c r="K5" i="19"/>
  <c r="H5" i="19"/>
  <c r="H7" i="18"/>
  <c r="I6" i="18"/>
  <c r="J6" i="18" s="1"/>
  <c r="F9" i="18"/>
  <c r="G8" i="18"/>
  <c r="K8" i="18" s="1"/>
  <c r="G9" i="22" l="1"/>
  <c r="K9" i="22" s="1"/>
  <c r="F10" i="22"/>
  <c r="I6" i="22"/>
  <c r="J6" i="22" s="1"/>
  <c r="H7" i="22"/>
  <c r="F10" i="20"/>
  <c r="G9" i="20"/>
  <c r="K9" i="20" s="1"/>
  <c r="H7" i="20"/>
  <c r="I6" i="20"/>
  <c r="J6" i="20" s="1"/>
  <c r="I5" i="19"/>
  <c r="J5" i="19" s="1"/>
  <c r="H6" i="19"/>
  <c r="G8" i="19"/>
  <c r="K8" i="19" s="1"/>
  <c r="F9" i="19"/>
  <c r="F10" i="18"/>
  <c r="G9" i="18"/>
  <c r="K9" i="18" s="1"/>
  <c r="H8" i="18"/>
  <c r="I7" i="18"/>
  <c r="J7" i="18" s="1"/>
  <c r="E26" i="16"/>
  <c r="E25" i="16"/>
  <c r="E24" i="16"/>
  <c r="E28" i="16" s="1"/>
  <c r="E31" i="16" s="1"/>
  <c r="E32" i="16" s="1"/>
  <c r="F20" i="16"/>
  <c r="F19" i="16"/>
  <c r="D33" i="13"/>
  <c r="D28" i="13"/>
  <c r="D27" i="13"/>
  <c r="D25" i="13"/>
  <c r="D28" i="15"/>
  <c r="D27" i="15"/>
  <c r="D26" i="15"/>
  <c r="D25" i="15"/>
  <c r="D35" i="13"/>
  <c r="D40" i="13"/>
  <c r="D41" i="13" s="1"/>
  <c r="D37" i="13"/>
  <c r="D37" i="15"/>
  <c r="D29" i="15"/>
  <c r="G27" i="15"/>
  <c r="K27" i="15"/>
  <c r="G28" i="15"/>
  <c r="K28" i="15" s="1"/>
  <c r="G29" i="15"/>
  <c r="K29" i="15"/>
  <c r="G30" i="15"/>
  <c r="K30" i="15"/>
  <c r="G31" i="15"/>
  <c r="K31" i="15"/>
  <c r="G32" i="15"/>
  <c r="K32" i="15"/>
  <c r="G33" i="15"/>
  <c r="K33" i="15"/>
  <c r="G34" i="15"/>
  <c r="K34" i="15"/>
  <c r="G35" i="15"/>
  <c r="K35" i="15"/>
  <c r="G36" i="15"/>
  <c r="K36" i="15" s="1"/>
  <c r="G37" i="15"/>
  <c r="K37" i="15"/>
  <c r="G38" i="15"/>
  <c r="K38" i="15"/>
  <c r="G39" i="15"/>
  <c r="K39" i="15"/>
  <c r="G40" i="15"/>
  <c r="K40" i="15" s="1"/>
  <c r="G41" i="15"/>
  <c r="K41" i="15" s="1"/>
  <c r="G42" i="15"/>
  <c r="K42" i="15"/>
  <c r="G43" i="15"/>
  <c r="K43" i="15"/>
  <c r="G44" i="15"/>
  <c r="K44" i="15" s="1"/>
  <c r="G45" i="15"/>
  <c r="K45" i="15" s="1"/>
  <c r="G46" i="15"/>
  <c r="K46" i="15"/>
  <c r="G47" i="15"/>
  <c r="K47" i="15"/>
  <c r="G48" i="15"/>
  <c r="K48" i="15" s="1"/>
  <c r="G49" i="15"/>
  <c r="K49" i="15" s="1"/>
  <c r="F48" i="15"/>
  <c r="F27" i="15"/>
  <c r="F28" i="15"/>
  <c r="F29" i="15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F46" i="15" s="1"/>
  <c r="F47" i="15" s="1"/>
  <c r="D40" i="15"/>
  <c r="D42" i="15" s="1"/>
  <c r="D43" i="15" s="1"/>
  <c r="D35" i="15"/>
  <c r="D33" i="15"/>
  <c r="H4" i="15" s="1"/>
  <c r="D30" i="15"/>
  <c r="F5" i="15"/>
  <c r="F4" i="15"/>
  <c r="K3" i="15"/>
  <c r="J3" i="15"/>
  <c r="I3" i="15"/>
  <c r="H8" i="22" l="1"/>
  <c r="I7" i="22"/>
  <c r="J7" i="22" s="1"/>
  <c r="G10" i="22"/>
  <c r="K10" i="22" s="1"/>
  <c r="F11" i="22"/>
  <c r="F11" i="20"/>
  <c r="G10" i="20"/>
  <c r="K10" i="20" s="1"/>
  <c r="H8" i="20"/>
  <c r="I7" i="20"/>
  <c r="J7" i="20" s="1"/>
  <c r="G9" i="19"/>
  <c r="K9" i="19" s="1"/>
  <c r="F10" i="19"/>
  <c r="H7" i="19"/>
  <c r="I6" i="19"/>
  <c r="J6" i="19" s="1"/>
  <c r="F11" i="18"/>
  <c r="G10" i="18"/>
  <c r="K10" i="18" s="1"/>
  <c r="H9" i="18"/>
  <c r="I8" i="18"/>
  <c r="J8" i="18" s="1"/>
  <c r="D34" i="15"/>
  <c r="G5" i="15"/>
  <c r="K5" i="15" s="1"/>
  <c r="G4" i="15"/>
  <c r="K4" i="15" s="1"/>
  <c r="F6" i="15"/>
  <c r="D41" i="15"/>
  <c r="J3" i="13"/>
  <c r="I3" i="13"/>
  <c r="D26" i="13"/>
  <c r="F4" i="13"/>
  <c r="G11" i="22" l="1"/>
  <c r="K11" i="22" s="1"/>
  <c r="F12" i="22"/>
  <c r="I8" i="22"/>
  <c r="J8" i="22" s="1"/>
  <c r="H9" i="22"/>
  <c r="H9" i="20"/>
  <c r="I8" i="20"/>
  <c r="J8" i="20" s="1"/>
  <c r="F12" i="20"/>
  <c r="G11" i="20"/>
  <c r="K11" i="20" s="1"/>
  <c r="I7" i="19"/>
  <c r="J7" i="19" s="1"/>
  <c r="H8" i="19"/>
  <c r="G10" i="19"/>
  <c r="K10" i="19" s="1"/>
  <c r="F11" i="19"/>
  <c r="F12" i="18"/>
  <c r="G11" i="18"/>
  <c r="K11" i="18" s="1"/>
  <c r="H10" i="18"/>
  <c r="I9" i="18"/>
  <c r="J9" i="18" s="1"/>
  <c r="D34" i="13"/>
  <c r="H4" i="13"/>
  <c r="H5" i="15"/>
  <c r="I5" i="15" s="1"/>
  <c r="J5" i="15" s="1"/>
  <c r="I4" i="15"/>
  <c r="J4" i="15" s="1"/>
  <c r="G6" i="15"/>
  <c r="K6" i="15" s="1"/>
  <c r="F7" i="15"/>
  <c r="G12" i="13"/>
  <c r="D30" i="13"/>
  <c r="G24" i="13" s="1"/>
  <c r="G23" i="13"/>
  <c r="G7" i="13"/>
  <c r="G26" i="13"/>
  <c r="G18" i="13"/>
  <c r="G25" i="13"/>
  <c r="G21" i="13"/>
  <c r="K3" i="13"/>
  <c r="F5" i="13"/>
  <c r="D42" i="13"/>
  <c r="D43" i="13" s="1"/>
  <c r="F7" i="1"/>
  <c r="F3" i="1"/>
  <c r="G10" i="13" l="1"/>
  <c r="G19" i="13"/>
  <c r="G20" i="13"/>
  <c r="G27" i="13"/>
  <c r="K27" i="13" s="1"/>
  <c r="G29" i="13"/>
  <c r="K29" i="13" s="1"/>
  <c r="G28" i="13"/>
  <c r="K28" i="13" s="1"/>
  <c r="G17" i="13"/>
  <c r="G5" i="13"/>
  <c r="K5" i="13" s="1"/>
  <c r="G9" i="13"/>
  <c r="G14" i="13"/>
  <c r="G11" i="13"/>
  <c r="G8" i="13"/>
  <c r="H10" i="22"/>
  <c r="I9" i="22"/>
  <c r="J9" i="22" s="1"/>
  <c r="G12" i="22"/>
  <c r="K12" i="22" s="1"/>
  <c r="F13" i="22"/>
  <c r="H10" i="20"/>
  <c r="I9" i="20"/>
  <c r="J9" i="20" s="1"/>
  <c r="F13" i="20"/>
  <c r="G12" i="20"/>
  <c r="K12" i="20" s="1"/>
  <c r="F12" i="19"/>
  <c r="G11" i="19"/>
  <c r="K11" i="19" s="1"/>
  <c r="H9" i="19"/>
  <c r="I8" i="19"/>
  <c r="J8" i="19" s="1"/>
  <c r="F13" i="18"/>
  <c r="G12" i="18"/>
  <c r="K12" i="18" s="1"/>
  <c r="H11" i="18"/>
  <c r="I10" i="18"/>
  <c r="J10" i="18" s="1"/>
  <c r="H6" i="15"/>
  <c r="I6" i="15" s="1"/>
  <c r="J6" i="15" s="1"/>
  <c r="F8" i="15"/>
  <c r="G7" i="15"/>
  <c r="K7" i="15" s="1"/>
  <c r="G16" i="13"/>
  <c r="G13" i="13"/>
  <c r="G6" i="13"/>
  <c r="G22" i="13"/>
  <c r="G15" i="13"/>
  <c r="G4" i="13"/>
  <c r="F6" i="13"/>
  <c r="K6" i="13" s="1"/>
  <c r="F35" i="1"/>
  <c r="F39" i="1"/>
  <c r="D37" i="1"/>
  <c r="F40" i="1"/>
  <c r="D38" i="1"/>
  <c r="F34" i="1"/>
  <c r="F38" i="1"/>
  <c r="F42" i="1"/>
  <c r="D36" i="1"/>
  <c r="F36" i="1"/>
  <c r="D34" i="1"/>
  <c r="F37" i="1"/>
  <c r="F41" i="1"/>
  <c r="D35" i="1"/>
  <c r="D39" i="1"/>
  <c r="G13" i="22" l="1"/>
  <c r="K13" i="22" s="1"/>
  <c r="F14" i="22"/>
  <c r="I10" i="22"/>
  <c r="J10" i="22" s="1"/>
  <c r="H11" i="22"/>
  <c r="H11" i="20"/>
  <c r="I10" i="20"/>
  <c r="J10" i="20" s="1"/>
  <c r="F14" i="20"/>
  <c r="G13" i="20"/>
  <c r="K13" i="20" s="1"/>
  <c r="I9" i="19"/>
  <c r="J9" i="19" s="1"/>
  <c r="H10" i="19"/>
  <c r="G12" i="19"/>
  <c r="K12" i="19" s="1"/>
  <c r="F13" i="19"/>
  <c r="H12" i="18"/>
  <c r="I11" i="18"/>
  <c r="J11" i="18" s="1"/>
  <c r="F14" i="18"/>
  <c r="G13" i="18"/>
  <c r="K13" i="18" s="1"/>
  <c r="H7" i="15"/>
  <c r="I7" i="15" s="1"/>
  <c r="J7" i="15" s="1"/>
  <c r="G8" i="15"/>
  <c r="K8" i="15" s="1"/>
  <c r="F9" i="15"/>
  <c r="I4" i="13"/>
  <c r="J4" i="13" s="1"/>
  <c r="K4" i="13"/>
  <c r="H5" i="13"/>
  <c r="I5" i="13" s="1"/>
  <c r="J5" i="13" s="1"/>
  <c r="F7" i="13"/>
  <c r="H12" i="22" l="1"/>
  <c r="I11" i="22"/>
  <c r="J11" i="22" s="1"/>
  <c r="G14" i="22"/>
  <c r="K14" i="22" s="1"/>
  <c r="F15" i="22"/>
  <c r="F15" i="20"/>
  <c r="G14" i="20"/>
  <c r="K14" i="20" s="1"/>
  <c r="H12" i="20"/>
  <c r="I11" i="20"/>
  <c r="J11" i="20" s="1"/>
  <c r="F14" i="19"/>
  <c r="G13" i="19"/>
  <c r="K13" i="19" s="1"/>
  <c r="H11" i="19"/>
  <c r="I10" i="19"/>
  <c r="J10" i="19" s="1"/>
  <c r="F15" i="18"/>
  <c r="G14" i="18"/>
  <c r="K14" i="18" s="1"/>
  <c r="H13" i="18"/>
  <c r="I12" i="18"/>
  <c r="J12" i="18" s="1"/>
  <c r="H8" i="15"/>
  <c r="I8" i="15" s="1"/>
  <c r="J8" i="15" s="1"/>
  <c r="G9" i="15"/>
  <c r="K9" i="15" s="1"/>
  <c r="F10" i="15"/>
  <c r="H6" i="13"/>
  <c r="I6" i="13" s="1"/>
  <c r="J6" i="13" s="1"/>
  <c r="F8" i="13"/>
  <c r="K8" i="13" s="1"/>
  <c r="K7" i="13"/>
  <c r="G15" i="22" l="1"/>
  <c r="K15" i="22" s="1"/>
  <c r="F16" i="22"/>
  <c r="I12" i="22"/>
  <c r="J12" i="22" s="1"/>
  <c r="H13" i="22"/>
  <c r="H13" i="20"/>
  <c r="I12" i="20"/>
  <c r="J12" i="20" s="1"/>
  <c r="F16" i="20"/>
  <c r="G15" i="20"/>
  <c r="K15" i="20" s="1"/>
  <c r="I11" i="19"/>
  <c r="J11" i="19" s="1"/>
  <c r="H12" i="19"/>
  <c r="G14" i="19"/>
  <c r="K14" i="19" s="1"/>
  <c r="F15" i="19"/>
  <c r="H14" i="18"/>
  <c r="I13" i="18"/>
  <c r="J13" i="18" s="1"/>
  <c r="F16" i="18"/>
  <c r="G15" i="18"/>
  <c r="K15" i="18" s="1"/>
  <c r="G10" i="15"/>
  <c r="K10" i="15" s="1"/>
  <c r="F11" i="15"/>
  <c r="H9" i="15"/>
  <c r="F9" i="13"/>
  <c r="K9" i="13" s="1"/>
  <c r="H7" i="13"/>
  <c r="F10" i="13"/>
  <c r="I13" i="22" l="1"/>
  <c r="J13" i="22" s="1"/>
  <c r="H14" i="22"/>
  <c r="F17" i="22"/>
  <c r="G16" i="22"/>
  <c r="K16" i="22" s="1"/>
  <c r="F17" i="20"/>
  <c r="G16" i="20"/>
  <c r="K16" i="20" s="1"/>
  <c r="H14" i="20"/>
  <c r="I13" i="20"/>
  <c r="J13" i="20" s="1"/>
  <c r="F16" i="19"/>
  <c r="G15" i="19"/>
  <c r="K15" i="19" s="1"/>
  <c r="I12" i="19"/>
  <c r="J12" i="19" s="1"/>
  <c r="H13" i="19"/>
  <c r="F17" i="18"/>
  <c r="G16" i="18"/>
  <c r="K16" i="18" s="1"/>
  <c r="H15" i="18"/>
  <c r="I14" i="18"/>
  <c r="J14" i="18" s="1"/>
  <c r="F12" i="15"/>
  <c r="G11" i="15"/>
  <c r="K11" i="15" s="1"/>
  <c r="I9" i="15"/>
  <c r="J9" i="15" s="1"/>
  <c r="H10" i="15"/>
  <c r="H8" i="13"/>
  <c r="I8" i="13" s="1"/>
  <c r="J8" i="13" s="1"/>
  <c r="I7" i="13"/>
  <c r="J7" i="13" s="1"/>
  <c r="F11" i="13"/>
  <c r="K10" i="13"/>
  <c r="I14" i="22" l="1"/>
  <c r="J14" i="22" s="1"/>
  <c r="H15" i="22"/>
  <c r="G17" i="22"/>
  <c r="K17" i="22" s="1"/>
  <c r="F18" i="22"/>
  <c r="H15" i="20"/>
  <c r="I14" i="20"/>
  <c r="J14" i="20" s="1"/>
  <c r="F18" i="20"/>
  <c r="G17" i="20"/>
  <c r="K17" i="20" s="1"/>
  <c r="I13" i="19"/>
  <c r="J13" i="19" s="1"/>
  <c r="H14" i="19"/>
  <c r="G16" i="19"/>
  <c r="K16" i="19" s="1"/>
  <c r="F17" i="19"/>
  <c r="H16" i="18"/>
  <c r="I15" i="18"/>
  <c r="J15" i="18" s="1"/>
  <c r="F18" i="18"/>
  <c r="G17" i="18"/>
  <c r="K17" i="18" s="1"/>
  <c r="G12" i="15"/>
  <c r="K12" i="15" s="1"/>
  <c r="F13" i="15"/>
  <c r="I10" i="15"/>
  <c r="J10" i="15" s="1"/>
  <c r="H11" i="15"/>
  <c r="H9" i="13"/>
  <c r="I9" i="13" s="1"/>
  <c r="J9" i="13" s="1"/>
  <c r="K11" i="13"/>
  <c r="F12" i="13"/>
  <c r="F19" i="22" l="1"/>
  <c r="G18" i="22"/>
  <c r="K18" i="22" s="1"/>
  <c r="I15" i="22"/>
  <c r="J15" i="22" s="1"/>
  <c r="H16" i="22"/>
  <c r="F19" i="20"/>
  <c r="G18" i="20"/>
  <c r="K18" i="20" s="1"/>
  <c r="H16" i="20"/>
  <c r="I15" i="20"/>
  <c r="J15" i="20" s="1"/>
  <c r="F18" i="19"/>
  <c r="G17" i="19"/>
  <c r="K17" i="19" s="1"/>
  <c r="I14" i="19"/>
  <c r="J14" i="19" s="1"/>
  <c r="H15" i="19"/>
  <c r="F19" i="18"/>
  <c r="G18" i="18"/>
  <c r="K18" i="18" s="1"/>
  <c r="H17" i="18"/>
  <c r="I16" i="18"/>
  <c r="J16" i="18" s="1"/>
  <c r="I11" i="15"/>
  <c r="J11" i="15" s="1"/>
  <c r="H12" i="15"/>
  <c r="G13" i="15"/>
  <c r="K13" i="15" s="1"/>
  <c r="F14" i="15"/>
  <c r="H10" i="13"/>
  <c r="I10" i="13" s="1"/>
  <c r="J10" i="13" s="1"/>
  <c r="F13" i="13"/>
  <c r="K12" i="13"/>
  <c r="G19" i="22" l="1"/>
  <c r="K19" i="22" s="1"/>
  <c r="F20" i="22"/>
  <c r="I16" i="22"/>
  <c r="J16" i="22" s="1"/>
  <c r="H17" i="22"/>
  <c r="H17" i="20"/>
  <c r="I16" i="20"/>
  <c r="J16" i="20" s="1"/>
  <c r="F20" i="20"/>
  <c r="G19" i="20"/>
  <c r="K19" i="20" s="1"/>
  <c r="I15" i="19"/>
  <c r="J15" i="19" s="1"/>
  <c r="H16" i="19"/>
  <c r="G18" i="19"/>
  <c r="K18" i="19" s="1"/>
  <c r="F19" i="19"/>
  <c r="H18" i="18"/>
  <c r="I17" i="18"/>
  <c r="J17" i="18" s="1"/>
  <c r="F20" i="18"/>
  <c r="G19" i="18"/>
  <c r="K19" i="18" s="1"/>
  <c r="G14" i="15"/>
  <c r="K14" i="15" s="1"/>
  <c r="F15" i="15"/>
  <c r="H13" i="15"/>
  <c r="I12" i="15"/>
  <c r="J12" i="15" s="1"/>
  <c r="H11" i="13"/>
  <c r="I11" i="13" s="1"/>
  <c r="J11" i="13" s="1"/>
  <c r="K13" i="13"/>
  <c r="F14" i="13"/>
  <c r="I17" i="22" l="1"/>
  <c r="J17" i="22" s="1"/>
  <c r="H18" i="22"/>
  <c r="G20" i="22"/>
  <c r="K20" i="22" s="1"/>
  <c r="F21" i="22"/>
  <c r="F21" i="20"/>
  <c r="G20" i="20"/>
  <c r="K20" i="20" s="1"/>
  <c r="H18" i="20"/>
  <c r="I17" i="20"/>
  <c r="J17" i="20" s="1"/>
  <c r="F20" i="19"/>
  <c r="G19" i="19"/>
  <c r="K19" i="19" s="1"/>
  <c r="H17" i="19"/>
  <c r="I16" i="19"/>
  <c r="J16" i="19" s="1"/>
  <c r="F21" i="18"/>
  <c r="G20" i="18"/>
  <c r="K20" i="18" s="1"/>
  <c r="H19" i="18"/>
  <c r="I18" i="18"/>
  <c r="J18" i="18" s="1"/>
  <c r="I13" i="15"/>
  <c r="J13" i="15" s="1"/>
  <c r="H14" i="15"/>
  <c r="F16" i="15"/>
  <c r="G15" i="15"/>
  <c r="K15" i="15" s="1"/>
  <c r="H12" i="13"/>
  <c r="I12" i="13" s="1"/>
  <c r="J12" i="13" s="1"/>
  <c r="F15" i="13"/>
  <c r="K14" i="13"/>
  <c r="G21" i="22" l="1"/>
  <c r="K21" i="22" s="1"/>
  <c r="F22" i="22"/>
  <c r="I18" i="22"/>
  <c r="J18" i="22" s="1"/>
  <c r="H19" i="22"/>
  <c r="H19" i="20"/>
  <c r="I18" i="20"/>
  <c r="J18" i="20" s="1"/>
  <c r="F22" i="20"/>
  <c r="G21" i="20"/>
  <c r="K21" i="20" s="1"/>
  <c r="I17" i="19"/>
  <c r="J17" i="19" s="1"/>
  <c r="H18" i="19"/>
  <c r="G20" i="19"/>
  <c r="K20" i="19" s="1"/>
  <c r="F21" i="19"/>
  <c r="H20" i="18"/>
  <c r="I19" i="18"/>
  <c r="J19" i="18" s="1"/>
  <c r="F22" i="18"/>
  <c r="G21" i="18"/>
  <c r="K21" i="18" s="1"/>
  <c r="G16" i="15"/>
  <c r="K16" i="15" s="1"/>
  <c r="F17" i="15"/>
  <c r="I14" i="15"/>
  <c r="J14" i="15" s="1"/>
  <c r="H15" i="15"/>
  <c r="H13" i="13"/>
  <c r="I13" i="13" s="1"/>
  <c r="J13" i="13" s="1"/>
  <c r="F16" i="13"/>
  <c r="K15" i="13"/>
  <c r="I19" i="22" l="1"/>
  <c r="J19" i="22" s="1"/>
  <c r="H20" i="22"/>
  <c r="G22" i="22"/>
  <c r="K22" i="22" s="1"/>
  <c r="F23" i="22"/>
  <c r="F23" i="20"/>
  <c r="G22" i="20"/>
  <c r="K22" i="20" s="1"/>
  <c r="H20" i="20"/>
  <c r="I19" i="20"/>
  <c r="J19" i="20" s="1"/>
  <c r="F22" i="19"/>
  <c r="G21" i="19"/>
  <c r="K21" i="19" s="1"/>
  <c r="H19" i="19"/>
  <c r="I18" i="19"/>
  <c r="J18" i="19" s="1"/>
  <c r="F23" i="18"/>
  <c r="G22" i="18"/>
  <c r="K22" i="18" s="1"/>
  <c r="H21" i="18"/>
  <c r="I20" i="18"/>
  <c r="J20" i="18" s="1"/>
  <c r="H14" i="13"/>
  <c r="I14" i="13" s="1"/>
  <c r="J14" i="13" s="1"/>
  <c r="I15" i="15"/>
  <c r="J15" i="15" s="1"/>
  <c r="H16" i="15"/>
  <c r="G17" i="15"/>
  <c r="K17" i="15" s="1"/>
  <c r="F18" i="15"/>
  <c r="F17" i="13"/>
  <c r="K16" i="13"/>
  <c r="G23" i="22" l="1"/>
  <c r="K23" i="22" s="1"/>
  <c r="F24" i="22"/>
  <c r="I20" i="22"/>
  <c r="J20" i="22" s="1"/>
  <c r="H21" i="22"/>
  <c r="H21" i="20"/>
  <c r="I20" i="20"/>
  <c r="J20" i="20" s="1"/>
  <c r="F24" i="20"/>
  <c r="G23" i="20"/>
  <c r="K23" i="20" s="1"/>
  <c r="I19" i="19"/>
  <c r="J19" i="19" s="1"/>
  <c r="H20" i="19"/>
  <c r="G22" i="19"/>
  <c r="K22" i="19" s="1"/>
  <c r="F23" i="19"/>
  <c r="H22" i="18"/>
  <c r="I21" i="18"/>
  <c r="J21" i="18" s="1"/>
  <c r="F24" i="18"/>
  <c r="G23" i="18"/>
  <c r="K23" i="18" s="1"/>
  <c r="H15" i="13"/>
  <c r="I15" i="13" s="1"/>
  <c r="J15" i="13" s="1"/>
  <c r="G18" i="15"/>
  <c r="K18" i="15" s="1"/>
  <c r="F19" i="15"/>
  <c r="H17" i="15"/>
  <c r="I16" i="15"/>
  <c r="J16" i="15" s="1"/>
  <c r="F18" i="13"/>
  <c r="K17" i="13"/>
  <c r="H22" i="22" l="1"/>
  <c r="I21" i="22"/>
  <c r="J21" i="22" s="1"/>
  <c r="F25" i="22"/>
  <c r="G24" i="22"/>
  <c r="K24" i="22" s="1"/>
  <c r="G24" i="20"/>
  <c r="K24" i="20" s="1"/>
  <c r="H22" i="20"/>
  <c r="I21" i="20"/>
  <c r="J21" i="20" s="1"/>
  <c r="G23" i="19"/>
  <c r="K23" i="19" s="1"/>
  <c r="F24" i="19"/>
  <c r="H21" i="19"/>
  <c r="I20" i="19"/>
  <c r="J20" i="19" s="1"/>
  <c r="F25" i="18"/>
  <c r="G24" i="18"/>
  <c r="K24" i="18" s="1"/>
  <c r="H23" i="18"/>
  <c r="I22" i="18"/>
  <c r="J22" i="18" s="1"/>
  <c r="H16" i="13"/>
  <c r="I17" i="15"/>
  <c r="J17" i="15" s="1"/>
  <c r="H18" i="15"/>
  <c r="F20" i="15"/>
  <c r="G19" i="15"/>
  <c r="K19" i="15" s="1"/>
  <c r="K18" i="13"/>
  <c r="F19" i="13"/>
  <c r="G25" i="22" l="1"/>
  <c r="K25" i="22" s="1"/>
  <c r="F26" i="22"/>
  <c r="G26" i="22" s="1"/>
  <c r="K26" i="22" s="1"/>
  <c r="I22" i="22"/>
  <c r="J22" i="22" s="1"/>
  <c r="H23" i="22"/>
  <c r="H23" i="20"/>
  <c r="I22" i="20"/>
  <c r="J22" i="20" s="1"/>
  <c r="G25" i="20"/>
  <c r="K25" i="20" s="1"/>
  <c r="I21" i="19"/>
  <c r="J21" i="19" s="1"/>
  <c r="H22" i="19"/>
  <c r="G24" i="19"/>
  <c r="K24" i="19" s="1"/>
  <c r="F25" i="19"/>
  <c r="H24" i="18"/>
  <c r="I23" i="18"/>
  <c r="J23" i="18" s="1"/>
  <c r="G25" i="18"/>
  <c r="K25" i="18" s="1"/>
  <c r="F26" i="18"/>
  <c r="I16" i="13"/>
  <c r="J16" i="13" s="1"/>
  <c r="H17" i="13"/>
  <c r="I17" i="13" s="1"/>
  <c r="J17" i="13" s="1"/>
  <c r="G20" i="15"/>
  <c r="K20" i="15" s="1"/>
  <c r="F21" i="15"/>
  <c r="I18" i="15"/>
  <c r="J18" i="15" s="1"/>
  <c r="H19" i="15"/>
  <c r="F20" i="13"/>
  <c r="K19" i="13"/>
  <c r="I23" i="22" l="1"/>
  <c r="J23" i="22" s="1"/>
  <c r="H24" i="22"/>
  <c r="H24" i="20"/>
  <c r="I23" i="20"/>
  <c r="J23" i="20" s="1"/>
  <c r="F26" i="19"/>
  <c r="G25" i="19"/>
  <c r="K25" i="19" s="1"/>
  <c r="H23" i="19"/>
  <c r="I22" i="19"/>
  <c r="J22" i="19" s="1"/>
  <c r="G26" i="18"/>
  <c r="K26" i="18" s="1"/>
  <c r="F27" i="18"/>
  <c r="I24" i="18"/>
  <c r="J24" i="18" s="1"/>
  <c r="H25" i="18"/>
  <c r="H18" i="13"/>
  <c r="I18" i="13" s="1"/>
  <c r="J18" i="13" s="1"/>
  <c r="I19" i="15"/>
  <c r="J19" i="15" s="1"/>
  <c r="H20" i="15"/>
  <c r="G21" i="15"/>
  <c r="K21" i="15" s="1"/>
  <c r="F22" i="15"/>
  <c r="F21" i="13"/>
  <c r="K20" i="13"/>
  <c r="I24" i="22" l="1"/>
  <c r="J24" i="22" s="1"/>
  <c r="H25" i="22"/>
  <c r="H19" i="13"/>
  <c r="I19" i="13" s="1"/>
  <c r="J19" i="13" s="1"/>
  <c r="H25" i="20"/>
  <c r="I24" i="20"/>
  <c r="J24" i="20" s="1"/>
  <c r="I23" i="19"/>
  <c r="J23" i="19" s="1"/>
  <c r="H24" i="19"/>
  <c r="F27" i="19"/>
  <c r="G26" i="19"/>
  <c r="K26" i="19" s="1"/>
  <c r="F28" i="18"/>
  <c r="G27" i="18"/>
  <c r="K27" i="18" s="1"/>
  <c r="H26" i="18"/>
  <c r="I25" i="18"/>
  <c r="J25" i="18" s="1"/>
  <c r="G22" i="15"/>
  <c r="K22" i="15" s="1"/>
  <c r="F23" i="15"/>
  <c r="H21" i="15"/>
  <c r="I20" i="15"/>
  <c r="J20" i="15" s="1"/>
  <c r="F22" i="13"/>
  <c r="K21" i="13"/>
  <c r="I25" i="22" l="1"/>
  <c r="J25" i="22" s="1"/>
  <c r="H26" i="22"/>
  <c r="H20" i="13"/>
  <c r="I20" i="13" s="1"/>
  <c r="J20" i="13" s="1"/>
  <c r="I25" i="20"/>
  <c r="J25" i="20" s="1"/>
  <c r="F28" i="19"/>
  <c r="G27" i="19"/>
  <c r="K27" i="19" s="1"/>
  <c r="H25" i="19"/>
  <c r="I24" i="19"/>
  <c r="J24" i="19" s="1"/>
  <c r="H27" i="18"/>
  <c r="I26" i="18"/>
  <c r="J26" i="18" s="1"/>
  <c r="F29" i="18"/>
  <c r="G28" i="18"/>
  <c r="K28" i="18" s="1"/>
  <c r="I21" i="15"/>
  <c r="J21" i="15" s="1"/>
  <c r="H22" i="15"/>
  <c r="F24" i="15"/>
  <c r="G23" i="15"/>
  <c r="K23" i="15" s="1"/>
  <c r="F23" i="13"/>
  <c r="K22" i="13"/>
  <c r="I26" i="22" l="1"/>
  <c r="J26" i="22" s="1"/>
  <c r="H27" i="22"/>
  <c r="H21" i="13"/>
  <c r="I21" i="13" s="1"/>
  <c r="J21" i="13" s="1"/>
  <c r="I25" i="19"/>
  <c r="J25" i="19" s="1"/>
  <c r="H26" i="19"/>
  <c r="G28" i="19"/>
  <c r="K28" i="19" s="1"/>
  <c r="F29" i="19"/>
  <c r="G29" i="18"/>
  <c r="K29" i="18" s="1"/>
  <c r="F30" i="18"/>
  <c r="I27" i="18"/>
  <c r="J27" i="18" s="1"/>
  <c r="H28" i="18"/>
  <c r="G24" i="15"/>
  <c r="K24" i="15" s="1"/>
  <c r="F25" i="15"/>
  <c r="H23" i="15"/>
  <c r="I22" i="15"/>
  <c r="J22" i="15" s="1"/>
  <c r="F24" i="13"/>
  <c r="K23" i="13"/>
  <c r="H22" i="13"/>
  <c r="I22" i="13" s="1"/>
  <c r="J22" i="13" s="1"/>
  <c r="H28" i="22" l="1"/>
  <c r="I28" i="22" s="1"/>
  <c r="J28" i="22" s="1"/>
  <c r="I27" i="22"/>
  <c r="J27" i="22" s="1"/>
  <c r="G29" i="19"/>
  <c r="K29" i="19" s="1"/>
  <c r="I26" i="19"/>
  <c r="J26" i="19" s="1"/>
  <c r="H27" i="19"/>
  <c r="I28" i="18"/>
  <c r="J28" i="18" s="1"/>
  <c r="H29" i="18"/>
  <c r="F31" i="18"/>
  <c r="G30" i="18"/>
  <c r="K30" i="18" s="1"/>
  <c r="G25" i="15"/>
  <c r="K25" i="15" s="1"/>
  <c r="F26" i="15"/>
  <c r="G26" i="15" s="1"/>
  <c r="K26" i="15" s="1"/>
  <c r="I23" i="15"/>
  <c r="J23" i="15" s="1"/>
  <c r="H24" i="15"/>
  <c r="H23" i="13"/>
  <c r="I23" i="13" s="1"/>
  <c r="J23" i="13" s="1"/>
  <c r="F25" i="13"/>
  <c r="K24" i="13"/>
  <c r="I27" i="19" l="1"/>
  <c r="J27" i="19" s="1"/>
  <c r="H28" i="19"/>
  <c r="G30" i="19"/>
  <c r="K30" i="19" s="1"/>
  <c r="G31" i="18"/>
  <c r="K31" i="18" s="1"/>
  <c r="F32" i="18"/>
  <c r="H30" i="18"/>
  <c r="I29" i="18"/>
  <c r="J29" i="18" s="1"/>
  <c r="H25" i="15"/>
  <c r="I24" i="15"/>
  <c r="J24" i="15" s="1"/>
  <c r="F26" i="13"/>
  <c r="K25" i="13"/>
  <c r="H24" i="13"/>
  <c r="I24" i="13" s="1"/>
  <c r="J24" i="13" s="1"/>
  <c r="H29" i="19" l="1"/>
  <c r="I28" i="19"/>
  <c r="J28" i="19" s="1"/>
  <c r="H31" i="18"/>
  <c r="I30" i="18"/>
  <c r="J30" i="18" s="1"/>
  <c r="G32" i="18"/>
  <c r="K32" i="18" s="1"/>
  <c r="F33" i="18"/>
  <c r="I25" i="15"/>
  <c r="J25" i="15" s="1"/>
  <c r="H26" i="15"/>
  <c r="H25" i="13"/>
  <c r="I25" i="13" s="1"/>
  <c r="J25" i="13" s="1"/>
  <c r="K26" i="13"/>
  <c r="H30" i="19" l="1"/>
  <c r="I29" i="19"/>
  <c r="J29" i="19" s="1"/>
  <c r="F34" i="18"/>
  <c r="G33" i="18"/>
  <c r="K33" i="18" s="1"/>
  <c r="H32" i="18"/>
  <c r="I31" i="18"/>
  <c r="J31" i="18" s="1"/>
  <c r="I26" i="15"/>
  <c r="J26" i="15" s="1"/>
  <c r="H27" i="15"/>
  <c r="H26" i="13"/>
  <c r="I26" i="13" l="1"/>
  <c r="J26" i="13" s="1"/>
  <c r="H27" i="13"/>
  <c r="I30" i="19"/>
  <c r="J30" i="19" s="1"/>
  <c r="H33" i="18"/>
  <c r="I32" i="18"/>
  <c r="J32" i="18" s="1"/>
  <c r="F35" i="18"/>
  <c r="G34" i="18"/>
  <c r="K34" i="18" s="1"/>
  <c r="I27" i="15"/>
  <c r="J27" i="15" s="1"/>
  <c r="H28" i="15"/>
  <c r="I27" i="13" l="1"/>
  <c r="J27" i="13" s="1"/>
  <c r="H28" i="13"/>
  <c r="G35" i="18"/>
  <c r="K35" i="18" s="1"/>
  <c r="F36" i="18"/>
  <c r="I33" i="18"/>
  <c r="J33" i="18" s="1"/>
  <c r="H34" i="18"/>
  <c r="I28" i="15"/>
  <c r="J28" i="15" s="1"/>
  <c r="H29" i="15"/>
  <c r="H29" i="13" l="1"/>
  <c r="I29" i="13" s="1"/>
  <c r="J29" i="13" s="1"/>
  <c r="I28" i="13"/>
  <c r="J28" i="13" s="1"/>
  <c r="I34" i="18"/>
  <c r="J34" i="18" s="1"/>
  <c r="H35" i="18"/>
  <c r="F37" i="18"/>
  <c r="G36" i="18"/>
  <c r="K36" i="18" s="1"/>
  <c r="I29" i="15"/>
  <c r="J29" i="15" s="1"/>
  <c r="H30" i="15"/>
  <c r="F38" i="18" l="1"/>
  <c r="G37" i="18"/>
  <c r="K37" i="18" s="1"/>
  <c r="H36" i="18"/>
  <c r="I35" i="18"/>
  <c r="J35" i="18" s="1"/>
  <c r="H31" i="15"/>
  <c r="I30" i="15"/>
  <c r="J30" i="15" s="1"/>
  <c r="I36" i="18" l="1"/>
  <c r="J36" i="18" s="1"/>
  <c r="H37" i="18"/>
  <c r="F39" i="18"/>
  <c r="G38" i="18"/>
  <c r="K38" i="18" s="1"/>
  <c r="I31" i="15"/>
  <c r="J31" i="15" s="1"/>
  <c r="H32" i="15"/>
  <c r="F40" i="18" l="1"/>
  <c r="G39" i="18"/>
  <c r="K39" i="18" s="1"/>
  <c r="H38" i="18"/>
  <c r="I37" i="18"/>
  <c r="J37" i="18" s="1"/>
  <c r="I32" i="15"/>
  <c r="J32" i="15" s="1"/>
  <c r="H33" i="15"/>
  <c r="H39" i="18" l="1"/>
  <c r="I38" i="18"/>
  <c r="J38" i="18" s="1"/>
  <c r="G40" i="18"/>
  <c r="K40" i="18" s="1"/>
  <c r="I33" i="15"/>
  <c r="J33" i="15" s="1"/>
  <c r="H34" i="15"/>
  <c r="G41" i="18" l="1"/>
  <c r="K41" i="18" s="1"/>
  <c r="I39" i="18"/>
  <c r="J39" i="18" s="1"/>
  <c r="H40" i="18"/>
  <c r="I34" i="15"/>
  <c r="J34" i="15" s="1"/>
  <c r="H35" i="15"/>
  <c r="H41" i="18" l="1"/>
  <c r="I40" i="18"/>
  <c r="J40" i="18" s="1"/>
  <c r="I35" i="15"/>
  <c r="J35" i="15" s="1"/>
  <c r="H36" i="15"/>
  <c r="I41" i="18" l="1"/>
  <c r="J41" i="18" s="1"/>
  <c r="I36" i="15"/>
  <c r="J36" i="15" s="1"/>
  <c r="H37" i="15"/>
  <c r="H38" i="15" l="1"/>
  <c r="I37" i="15"/>
  <c r="J37" i="15" s="1"/>
  <c r="I38" i="15" l="1"/>
  <c r="J38" i="15" s="1"/>
  <c r="H39" i="15"/>
  <c r="I39" i="15" l="1"/>
  <c r="J39" i="15" s="1"/>
  <c r="H40" i="15"/>
  <c r="I40" i="15" l="1"/>
  <c r="J40" i="15" s="1"/>
  <c r="H41" i="15"/>
  <c r="I41" i="15" l="1"/>
  <c r="J41" i="15" s="1"/>
  <c r="H42" i="15"/>
  <c r="I42" i="15" l="1"/>
  <c r="J42" i="15" s="1"/>
  <c r="H43" i="15"/>
  <c r="H44" i="15" l="1"/>
  <c r="I43" i="15"/>
  <c r="J43" i="15" s="1"/>
  <c r="I44" i="15" l="1"/>
  <c r="J44" i="15" s="1"/>
  <c r="H45" i="15"/>
  <c r="I45" i="15" l="1"/>
  <c r="J45" i="15" s="1"/>
  <c r="H46" i="15"/>
  <c r="I46" i="15" l="1"/>
  <c r="J46" i="15" s="1"/>
  <c r="H47" i="15"/>
  <c r="I47" i="15" l="1"/>
  <c r="J47" i="15" s="1"/>
  <c r="H48" i="15"/>
  <c r="I48" i="15" l="1"/>
  <c r="J48" i="15" s="1"/>
  <c r="H49" i="15"/>
  <c r="I49" i="15" s="1"/>
  <c r="J49" i="15" s="1"/>
</calcChain>
</file>

<file path=xl/sharedStrings.xml><?xml version="1.0" encoding="utf-8"?>
<sst xmlns="http://schemas.openxmlformats.org/spreadsheetml/2006/main" count="701" uniqueCount="245">
  <si>
    <t>lbf</t>
    <phoneticPr fontId="1"/>
  </si>
  <si>
    <t>gf</t>
    <phoneticPr fontId="1"/>
  </si>
  <si>
    <t>12x6 Sport</t>
    <phoneticPr fontId="1"/>
  </si>
  <si>
    <t>12x6E</t>
    <phoneticPr fontId="1"/>
  </si>
  <si>
    <t>1lbf     =</t>
    <phoneticPr fontId="1"/>
  </si>
  <si>
    <t>kgf     =</t>
    <phoneticPr fontId="1"/>
  </si>
  <si>
    <t>APC公式の測定データを使用</t>
    <rPh sb="3" eb="5">
      <t>コウシキ</t>
    </rPh>
    <rPh sb="6" eb="8">
      <t>ソクテイ</t>
    </rPh>
    <rPh sb="12" eb="14">
      <t>シヨウ</t>
    </rPh>
    <phoneticPr fontId="1"/>
  </si>
  <si>
    <t>Ｎ</t>
    <phoneticPr fontId="1"/>
  </si>
  <si>
    <t>m</t>
    <phoneticPr fontId="1"/>
  </si>
  <si>
    <t>mm　　=</t>
    <phoneticPr fontId="1"/>
  </si>
  <si>
    <t>1in-lbf  =</t>
    <phoneticPr fontId="1"/>
  </si>
  <si>
    <t>Nm</t>
    <phoneticPr fontId="1"/>
  </si>
  <si>
    <t xml:space="preserve">          =</t>
    <phoneticPr fontId="1"/>
  </si>
  <si>
    <t>1in      =</t>
    <phoneticPr fontId="1"/>
  </si>
  <si>
    <t>in-lbf</t>
    <phoneticPr fontId="1"/>
  </si>
  <si>
    <t>V</t>
    <phoneticPr fontId="1"/>
  </si>
  <si>
    <t>R</t>
    <phoneticPr fontId="1"/>
  </si>
  <si>
    <t>nmax</t>
    <phoneticPr fontId="1"/>
  </si>
  <si>
    <t>I</t>
    <phoneticPr fontId="1"/>
  </si>
  <si>
    <t>Pout</t>
    <phoneticPr fontId="1"/>
  </si>
  <si>
    <t>A</t>
    <phoneticPr fontId="1"/>
  </si>
  <si>
    <t>ohm</t>
    <phoneticPr fontId="1"/>
  </si>
  <si>
    <t>%</t>
    <phoneticPr fontId="1"/>
  </si>
  <si>
    <t>W</t>
    <phoneticPr fontId="1"/>
  </si>
  <si>
    <t>Nm/A</t>
    <phoneticPr fontId="1"/>
  </si>
  <si>
    <t>Z2213-24</t>
    <phoneticPr fontId="1"/>
  </si>
  <si>
    <t>目標飛行時間</t>
    <rPh sb="0" eb="2">
      <t>モクヒョウ</t>
    </rPh>
    <rPh sb="2" eb="4">
      <t>ヒコウ</t>
    </rPh>
    <rPh sb="4" eb="6">
      <t>ジカン</t>
    </rPh>
    <phoneticPr fontId="1"/>
  </si>
  <si>
    <t>min</t>
    <phoneticPr fontId="1"/>
  </si>
  <si>
    <t>A</t>
    <phoneticPr fontId="1"/>
  </si>
  <si>
    <t>合計消費電流</t>
    <rPh sb="0" eb="2">
      <t>ゴウケイ</t>
    </rPh>
    <rPh sb="2" eb="4">
      <t>ショウヒ</t>
    </rPh>
    <rPh sb="4" eb="6">
      <t>デンリュウ</t>
    </rPh>
    <phoneticPr fontId="1"/>
  </si>
  <si>
    <t>A</t>
    <phoneticPr fontId="1"/>
  </si>
  <si>
    <t>必要容量</t>
    <rPh sb="0" eb="2">
      <t>ヒツヨウ</t>
    </rPh>
    <rPh sb="2" eb="4">
      <t>ヨウリョウ</t>
    </rPh>
    <phoneticPr fontId="1"/>
  </si>
  <si>
    <t>搭載容量</t>
    <rPh sb="0" eb="2">
      <t>トウサイ</t>
    </rPh>
    <rPh sb="2" eb="4">
      <t>ヨウリョウ</t>
    </rPh>
    <phoneticPr fontId="1"/>
  </si>
  <si>
    <t>mAh</t>
    <phoneticPr fontId="1"/>
  </si>
  <si>
    <t>飛行可能時間</t>
    <rPh sb="0" eb="2">
      <t>ヒコウ</t>
    </rPh>
    <rPh sb="2" eb="4">
      <t>カノウ</t>
    </rPh>
    <rPh sb="4" eb="6">
      <t>ジカン</t>
    </rPh>
    <phoneticPr fontId="1"/>
  </si>
  <si>
    <t>min</t>
    <phoneticPr fontId="1"/>
  </si>
  <si>
    <t>モータ毎消費電流</t>
    <rPh sb="3" eb="4">
      <t>マイ</t>
    </rPh>
    <rPh sb="4" eb="6">
      <t>ショウヒ</t>
    </rPh>
    <rPh sb="6" eb="8">
      <t>デンリュウ</t>
    </rPh>
    <phoneticPr fontId="1"/>
  </si>
  <si>
    <t>rpm/Nm</t>
    <phoneticPr fontId="1"/>
  </si>
  <si>
    <t>mNm</t>
    <phoneticPr fontId="1"/>
  </si>
  <si>
    <t>Z2209-32</t>
    <phoneticPr fontId="1"/>
  </si>
  <si>
    <t>７掛け</t>
    <rPh sb="1" eb="2">
      <t>カ</t>
    </rPh>
    <phoneticPr fontId="1"/>
  </si>
  <si>
    <t>ZS2209-30</t>
    <phoneticPr fontId="1"/>
  </si>
  <si>
    <t>ZS2213-22</t>
    <phoneticPr fontId="1"/>
  </si>
  <si>
    <t>品番</t>
    <rPh sb="0" eb="2">
      <t>ヒンバン</t>
    </rPh>
    <phoneticPr fontId="1"/>
  </si>
  <si>
    <t>本体直径</t>
    <rPh sb="0" eb="2">
      <t>ホンタイ</t>
    </rPh>
    <rPh sb="2" eb="4">
      <t>チョッケイ</t>
    </rPh>
    <phoneticPr fontId="1"/>
  </si>
  <si>
    <t>シャフト径</t>
    <rPh sb="4" eb="5">
      <t>ケイ</t>
    </rPh>
    <phoneticPr fontId="1"/>
  </si>
  <si>
    <t>重量</t>
    <rPh sb="0" eb="2">
      <t>ジュウリョウ</t>
    </rPh>
    <phoneticPr fontId="1"/>
  </si>
  <si>
    <t>本体長さ</t>
    <rPh sb="0" eb="2">
      <t>ホンタイ</t>
    </rPh>
    <rPh sb="2" eb="3">
      <t>ナガ</t>
    </rPh>
    <phoneticPr fontId="1"/>
  </si>
  <si>
    <t>mm</t>
    <phoneticPr fontId="1"/>
  </si>
  <si>
    <t>メーカー</t>
    <phoneticPr fontId="1"/>
  </si>
  <si>
    <t>Hacker</t>
    <phoneticPr fontId="1"/>
  </si>
  <si>
    <t>g</t>
    <phoneticPr fontId="1"/>
  </si>
  <si>
    <t>ハード</t>
    <phoneticPr fontId="1"/>
  </si>
  <si>
    <t>最大出力Pmax</t>
    <rPh sb="0" eb="2">
      <t>サイダイ</t>
    </rPh>
    <rPh sb="2" eb="4">
      <t>シュツリョク</t>
    </rPh>
    <phoneticPr fontId="1"/>
  </si>
  <si>
    <t>rpm/V</t>
    <phoneticPr fontId="1"/>
  </si>
  <si>
    <t>最高効率ηmax</t>
    <rPh sb="0" eb="2">
      <t>サイコウ</t>
    </rPh>
    <rPh sb="2" eb="4">
      <t>コウリツ</t>
    </rPh>
    <phoneticPr fontId="1"/>
  </si>
  <si>
    <t>無負荷時電流I0</t>
    <rPh sb="0" eb="3">
      <t>ムフカ</t>
    </rPh>
    <rPh sb="3" eb="4">
      <t>ジ</t>
    </rPh>
    <rPh sb="4" eb="6">
      <t>デンリュウ</t>
    </rPh>
    <phoneticPr fontId="1"/>
  </si>
  <si>
    <t>内部抵抗Rm</t>
    <rPh sb="0" eb="2">
      <t>ナイブ</t>
    </rPh>
    <rPh sb="2" eb="4">
      <t>テイコウ</t>
    </rPh>
    <phoneticPr fontId="1"/>
  </si>
  <si>
    <t>極数</t>
    <rPh sb="0" eb="2">
      <t>キョクスウ</t>
    </rPh>
    <phoneticPr fontId="1"/>
  </si>
  <si>
    <t>rpm</t>
    <phoneticPr fontId="1"/>
  </si>
  <si>
    <t>カタログスペック</t>
    <phoneticPr fontId="1"/>
  </si>
  <si>
    <t>deg</t>
    <phoneticPr fontId="1"/>
  </si>
  <si>
    <t>20-25</t>
    <phoneticPr fontId="1"/>
  </si>
  <si>
    <t>kHz</t>
    <phoneticPr fontId="1"/>
  </si>
  <si>
    <t>A20-22LEVO</t>
    <phoneticPr fontId="1"/>
  </si>
  <si>
    <t>A(8.4V時)</t>
    <phoneticPr fontId="1"/>
  </si>
  <si>
    <t>ターン数</t>
    <rPh sb="3" eb="4">
      <t>スウ</t>
    </rPh>
    <phoneticPr fontId="1"/>
  </si>
  <si>
    <t>8～16</t>
    <phoneticPr fontId="1"/>
  </si>
  <si>
    <t>ESC 周波数</t>
    <rPh sb="4" eb="7">
      <t>シュウハスウ</t>
    </rPh>
    <phoneticPr fontId="1"/>
  </si>
  <si>
    <t>ESC タイミング</t>
    <phoneticPr fontId="1"/>
  </si>
  <si>
    <t>rpm(※A20-22Lの値)</t>
    <phoneticPr fontId="1"/>
  </si>
  <si>
    <t>W(15sec)</t>
    <phoneticPr fontId="1"/>
  </si>
  <si>
    <t>KV値</t>
    <rPh sb="2" eb="3">
      <t>アタイ</t>
    </rPh>
    <phoneticPr fontId="1"/>
  </si>
  <si>
    <t>シャフト長</t>
    <rPh sb="4" eb="5">
      <t>チョウ</t>
    </rPh>
    <phoneticPr fontId="1"/>
  </si>
  <si>
    <t>http://www.powers-international.com/aero/hacker/a20evo.htm</t>
    <phoneticPr fontId="1"/>
  </si>
  <si>
    <t>URL</t>
    <phoneticPr fontId="1"/>
  </si>
  <si>
    <t>最高効率時電流Iηmax</t>
    <rPh sb="4" eb="5">
      <t>ジ</t>
    </rPh>
    <rPh sb="5" eb="7">
      <t>デンリュウ</t>
    </rPh>
    <phoneticPr fontId="1"/>
  </si>
  <si>
    <t>%(※A20-22Lの値)</t>
    <phoneticPr fontId="1"/>
  </si>
  <si>
    <t>駆動電圧V</t>
    <rPh sb="0" eb="2">
      <t>クドウ</t>
    </rPh>
    <rPh sb="2" eb="4">
      <t>デンアツ</t>
    </rPh>
    <phoneticPr fontId="1"/>
  </si>
  <si>
    <t>理論最高回転数Nmax</t>
    <rPh sb="0" eb="2">
      <t>リロン</t>
    </rPh>
    <rPh sb="2" eb="4">
      <t>サイコウ</t>
    </rPh>
    <rPh sb="4" eb="7">
      <t>カイテンスウ</t>
    </rPh>
    <phoneticPr fontId="1"/>
  </si>
  <si>
    <t>最大電流Ipeak</t>
    <rPh sb="0" eb="2">
      <t>サイダイ</t>
    </rPh>
    <rPh sb="2" eb="4">
      <t>デンリュウ</t>
    </rPh>
    <phoneticPr fontId="1"/>
  </si>
  <si>
    <t>最高回転数Npeak</t>
    <rPh sb="0" eb="2">
      <t>サイコウ</t>
    </rPh>
    <rPh sb="2" eb="5">
      <t>カイテンスウ</t>
    </rPh>
    <phoneticPr fontId="1"/>
  </si>
  <si>
    <t>Nmax≦Npeak？</t>
    <phoneticPr fontId="1"/>
  </si>
  <si>
    <t>回転数/トルク勾配</t>
    <rPh sb="0" eb="3">
      <t>カイテンスウ</t>
    </rPh>
    <rPh sb="7" eb="9">
      <t>コウバイ</t>
    </rPh>
    <phoneticPr fontId="1"/>
  </si>
  <si>
    <t>I0測定時の電圧</t>
    <rPh sb="2" eb="4">
      <t>ソクテイ</t>
    </rPh>
    <rPh sb="4" eb="5">
      <t>ジ</t>
    </rPh>
    <rPh sb="6" eb="8">
      <t>デンアツ</t>
    </rPh>
    <phoneticPr fontId="1"/>
  </si>
  <si>
    <t>起動電流IA</t>
    <rPh sb="0" eb="2">
      <t>キドウ</t>
    </rPh>
    <rPh sb="2" eb="4">
      <t>デンリュウ</t>
    </rPh>
    <phoneticPr fontId="1"/>
  </si>
  <si>
    <t>maxon</t>
    <phoneticPr fontId="1"/>
  </si>
  <si>
    <t>maxon</t>
    <phoneticPr fontId="1"/>
  </si>
  <si>
    <t>無負荷時回転数？</t>
    <rPh sb="4" eb="7">
      <t>カイテンスウ</t>
    </rPh>
    <phoneticPr fontId="1"/>
  </si>
  <si>
    <t>rad/sec</t>
    <phoneticPr fontId="1"/>
  </si>
  <si>
    <t>逆起電力定数Ke</t>
    <rPh sb="0" eb="1">
      <t>ギャク</t>
    </rPh>
    <rPh sb="1" eb="4">
      <t>キデンリョク</t>
    </rPh>
    <rPh sb="4" eb="6">
      <t>テイスウ</t>
    </rPh>
    <phoneticPr fontId="1"/>
  </si>
  <si>
    <t>トルク定数Kt</t>
    <rPh sb="3" eb="5">
      <t>ジョウスウ</t>
    </rPh>
    <phoneticPr fontId="1"/>
  </si>
  <si>
    <t>Nm</t>
    <phoneticPr fontId="1"/>
  </si>
  <si>
    <t>Vsec/rad</t>
    <phoneticPr fontId="1"/>
  </si>
  <si>
    <t>モータ内損失トルクTd</t>
    <rPh sb="3" eb="4">
      <t>ナイ</t>
    </rPh>
    <rPh sb="4" eb="6">
      <t>ソンシツ</t>
    </rPh>
    <phoneticPr fontId="1"/>
  </si>
  <si>
    <t>電流[A]</t>
    <rPh sb="0" eb="2">
      <t>デンリュウ</t>
    </rPh>
    <phoneticPr fontId="1"/>
  </si>
  <si>
    <t>回転数[rpm]</t>
    <rPh sb="0" eb="3">
      <t>カイテンスウ</t>
    </rPh>
    <phoneticPr fontId="1"/>
  </si>
  <si>
    <t>出力[W]</t>
    <rPh sb="0" eb="2">
      <t>シュツリョク</t>
    </rPh>
    <phoneticPr fontId="1"/>
  </si>
  <si>
    <t>効率[%]</t>
    <rPh sb="0" eb="2">
      <t>コウリツ</t>
    </rPh>
    <phoneticPr fontId="1"/>
  </si>
  <si>
    <t>有効トルク[Nm]</t>
    <rPh sb="0" eb="2">
      <t>ユウコウ</t>
    </rPh>
    <phoneticPr fontId="1"/>
  </si>
  <si>
    <t>A(10V時)</t>
    <phoneticPr fontId="1"/>
  </si>
  <si>
    <t>A(10sec)</t>
    <phoneticPr fontId="1"/>
  </si>
  <si>
    <t>Hyperion</t>
    <phoneticPr fontId="1"/>
  </si>
  <si>
    <t>ZS2213-22</t>
    <phoneticPr fontId="1"/>
  </si>
  <si>
    <t>Rm/Kt^2</t>
    <phoneticPr fontId="1"/>
  </si>
  <si>
    <t>5V 2A</t>
    <phoneticPr fontId="1"/>
  </si>
  <si>
    <t>BEC</t>
    <phoneticPr fontId="1"/>
  </si>
  <si>
    <t>SkyRC</t>
    <phoneticPr fontId="1"/>
  </si>
  <si>
    <t>HP-ATLAS-025LB</t>
    <phoneticPr fontId="1"/>
  </si>
  <si>
    <t>Amp</t>
    <phoneticPr fontId="1"/>
  </si>
  <si>
    <t>5V 3A</t>
    <phoneticPr fontId="1"/>
  </si>
  <si>
    <t>Phoenix-25</t>
    <phoneticPr fontId="1"/>
  </si>
  <si>
    <t>Castle Creations</t>
    <phoneticPr fontId="1"/>
  </si>
  <si>
    <t>Hyperion</t>
    <phoneticPr fontId="1"/>
  </si>
  <si>
    <t>27.4x23.1x4.1</t>
    <phoneticPr fontId="1"/>
  </si>
  <si>
    <t>FutureU11.20e</t>
    <phoneticPr fontId="1"/>
  </si>
  <si>
    <t>41x26x9</t>
    <phoneticPr fontId="1"/>
  </si>
  <si>
    <t>?</t>
    <phoneticPr fontId="1"/>
  </si>
  <si>
    <t>HP-TITAN-20PW31</t>
    <phoneticPr fontId="1"/>
  </si>
  <si>
    <t>Waypoint</t>
    <phoneticPr fontId="1"/>
  </si>
  <si>
    <t>W-EBLESC-15</t>
    <phoneticPr fontId="1"/>
  </si>
  <si>
    <t>W-EBLESC-25</t>
    <phoneticPr fontId="1"/>
  </si>
  <si>
    <t>5V 2A</t>
    <phoneticPr fontId="1"/>
  </si>
  <si>
    <t>5V 2A</t>
    <phoneticPr fontId="1"/>
  </si>
  <si>
    <t>45*24*11</t>
    <phoneticPr fontId="1"/>
  </si>
  <si>
    <t>38*24*7.5</t>
    <phoneticPr fontId="1"/>
  </si>
  <si>
    <t>51*26.1*8.8</t>
    <phoneticPr fontId="1"/>
  </si>
  <si>
    <t>34*23*12</t>
    <phoneticPr fontId="1"/>
  </si>
  <si>
    <t>5V 1.5A</t>
    <phoneticPr fontId="1"/>
  </si>
  <si>
    <t>FLYFUN-18A</t>
    <phoneticPr fontId="1"/>
  </si>
  <si>
    <t>X-20-Pro</t>
    <phoneticPr fontId="1"/>
  </si>
  <si>
    <t>42*24*9</t>
    <phoneticPr fontId="1"/>
  </si>
  <si>
    <t>Hacker</t>
    <phoneticPr fontId="1"/>
  </si>
  <si>
    <t>X-20</t>
    <phoneticPr fontId="1"/>
  </si>
  <si>
    <t>PLUSH-18</t>
    <phoneticPr fontId="1"/>
  </si>
  <si>
    <t>http://aircraft-japan.com/prod_datasheets/hp/zs22/zs22.htm</t>
  </si>
  <si>
    <t>%(※)</t>
    <phoneticPr fontId="1"/>
  </si>
  <si>
    <t>有効トルク[mNm]</t>
    <phoneticPr fontId="1"/>
  </si>
  <si>
    <t>A20-30MEVO</t>
    <phoneticPr fontId="1"/>
  </si>
  <si>
    <t>%(※)</t>
    <phoneticPr fontId="1"/>
  </si>
  <si>
    <t>rpm(※)</t>
    <phoneticPr fontId="1"/>
  </si>
  <si>
    <t>A(※con.15)</t>
    <phoneticPr fontId="1"/>
  </si>
  <si>
    <t>A(※con.12)</t>
    <phoneticPr fontId="1"/>
  </si>
  <si>
    <t>印加電圧</t>
    <rPh sb="0" eb="2">
      <t>インカ</t>
    </rPh>
    <rPh sb="2" eb="4">
      <t>デンアツ</t>
    </rPh>
    <phoneticPr fontId="1"/>
  </si>
  <si>
    <t>L</t>
    <phoneticPr fontId="1"/>
  </si>
  <si>
    <t>gcm</t>
    <phoneticPr fontId="1"/>
  </si>
  <si>
    <t>Td</t>
    <phoneticPr fontId="1"/>
  </si>
  <si>
    <t>Ke</t>
    <phoneticPr fontId="1"/>
  </si>
  <si>
    <t>Kt</t>
    <phoneticPr fontId="1"/>
  </si>
  <si>
    <t>mH</t>
    <phoneticPr fontId="1"/>
  </si>
  <si>
    <t>ohm</t>
    <phoneticPr fontId="1"/>
  </si>
  <si>
    <t>J</t>
    <phoneticPr fontId="1"/>
  </si>
  <si>
    <t>gcm^2</t>
    <phoneticPr fontId="1"/>
  </si>
  <si>
    <t>T up to</t>
    <phoneticPr fontId="1"/>
  </si>
  <si>
    <t>Tm</t>
    <phoneticPr fontId="1"/>
  </si>
  <si>
    <t>Nm</t>
    <phoneticPr fontId="1"/>
  </si>
  <si>
    <t>i</t>
    <phoneticPr fontId="1"/>
  </si>
  <si>
    <t>Nm/A</t>
    <phoneticPr fontId="1"/>
  </si>
  <si>
    <t>Vsec/rad</t>
    <phoneticPr fontId="1"/>
  </si>
  <si>
    <t>Vsec/rad</t>
    <phoneticPr fontId="1"/>
  </si>
  <si>
    <t>tau_m</t>
    <phoneticPr fontId="1"/>
  </si>
  <si>
    <t>msec</t>
    <phoneticPr fontId="1"/>
  </si>
  <si>
    <t>sec</t>
    <phoneticPr fontId="1"/>
  </si>
  <si>
    <t>omega</t>
    <phoneticPr fontId="1"/>
  </si>
  <si>
    <t>Voltage</t>
    <phoneticPr fontId="1"/>
  </si>
  <si>
    <t>P</t>
    <phoneticPr fontId="1"/>
  </si>
  <si>
    <t>i-ta</t>
    <phoneticPr fontId="1"/>
  </si>
  <si>
    <t>Yes</t>
    <phoneticPr fontId="1"/>
  </si>
  <si>
    <t>周波数</t>
    <rPh sb="0" eb="3">
      <t>シュウハスウ</t>
    </rPh>
    <phoneticPr fontId="1"/>
  </si>
  <si>
    <t>8/16kHz</t>
    <phoneticPr fontId="1"/>
  </si>
  <si>
    <t>進角</t>
    <rPh sb="0" eb="2">
      <t>シンカク</t>
    </rPh>
    <phoneticPr fontId="1"/>
  </si>
  <si>
    <t>2-3.2/cell 0.1V</t>
    <phoneticPr fontId="1"/>
  </si>
  <si>
    <t>Brake</t>
    <phoneticPr fontId="1"/>
  </si>
  <si>
    <t>Cut.Mode</t>
    <phoneticPr fontId="1"/>
  </si>
  <si>
    <t>On/Off</t>
    <phoneticPr fontId="1"/>
  </si>
  <si>
    <t>On/Off</t>
    <phoneticPr fontId="1"/>
  </si>
  <si>
    <t>Thunderbird-18</t>
    <phoneticPr fontId="1"/>
  </si>
  <si>
    <t>On/Off</t>
    <phoneticPr fontId="1"/>
  </si>
  <si>
    <t>50%/LED/なし</t>
    <phoneticPr fontId="1"/>
  </si>
  <si>
    <t>No</t>
    <phoneticPr fontId="1"/>
  </si>
  <si>
    <t>VS/S/H/VH/なし</t>
    <phoneticPr fontId="1"/>
  </si>
  <si>
    <t>S/H/なし</t>
    <phoneticPr fontId="1"/>
  </si>
  <si>
    <t>過電流保護</t>
    <rPh sb="0" eb="3">
      <t>カデンリュウ</t>
    </rPh>
    <rPh sb="3" eb="5">
      <t>ホゴ</t>
    </rPh>
    <phoneticPr fontId="1"/>
  </si>
  <si>
    <t>-</t>
    <phoneticPr fontId="1"/>
  </si>
  <si>
    <t>8kHz</t>
    <phoneticPr fontId="1"/>
  </si>
  <si>
    <t>Auto/5-30 5°</t>
    <phoneticPr fontId="1"/>
  </si>
  <si>
    <t>ある？</t>
    <phoneticPr fontId="1"/>
  </si>
  <si>
    <t>4段階/なし</t>
    <rPh sb="1" eb="3">
      <t>ダンカイ</t>
    </rPh>
    <phoneticPr fontId="1"/>
  </si>
  <si>
    <t>SHDelay有無/なし</t>
    <rPh sb="7" eb="9">
      <t>ウム</t>
    </rPh>
    <phoneticPr fontId="1"/>
  </si>
  <si>
    <t>Auto/Fix/L/H</t>
    <phoneticPr fontId="1"/>
  </si>
  <si>
    <t>L/M/H/Fix</t>
    <phoneticPr fontId="1"/>
  </si>
  <si>
    <t>Yes/Fix</t>
    <phoneticPr fontId="1"/>
  </si>
  <si>
    <t>Throtle/Gov</t>
    <phoneticPr fontId="1"/>
  </si>
  <si>
    <t>S/H</t>
    <phoneticPr fontId="1"/>
  </si>
  <si>
    <t>VS/S/F</t>
    <phoneticPr fontId="1"/>
  </si>
  <si>
    <t>12/16/24/Out</t>
    <phoneticPr fontId="1"/>
  </si>
  <si>
    <t>L/M/H</t>
    <phoneticPr fontId="1"/>
  </si>
  <si>
    <t>On/Off</t>
    <phoneticPr fontId="1"/>
  </si>
  <si>
    <t>Auto/7/22-30</t>
    <phoneticPr fontId="1"/>
  </si>
  <si>
    <t>2-4Servo</t>
    <phoneticPr fontId="1"/>
  </si>
  <si>
    <t>2-5Servo</t>
  </si>
  <si>
    <t>Soft Start</t>
    <phoneticPr fontId="1"/>
  </si>
  <si>
    <t>Cut.Vol</t>
    <phoneticPr fontId="1"/>
  </si>
  <si>
    <t>3/cell 変更可</t>
    <rPh sb="7" eb="9">
      <t>ヘンコウ</t>
    </rPh>
    <rPh sb="9" eb="10">
      <t>カ</t>
    </rPh>
    <phoneticPr fontId="1"/>
  </si>
  <si>
    <t>3.2/cell or 6</t>
    <phoneticPr fontId="1"/>
  </si>
  <si>
    <t>3.2/cell or 5.8</t>
    <phoneticPr fontId="1"/>
  </si>
  <si>
    <t>5-13.8 0.2V</t>
    <phoneticPr fontId="1"/>
  </si>
  <si>
    <t>rot.</t>
    <phoneticPr fontId="1"/>
  </si>
  <si>
    <t>PC</t>
    <phoneticPr fontId="1"/>
  </si>
  <si>
    <t>価格</t>
    <rPh sb="0" eb="2">
      <t>カカク</t>
    </rPh>
    <phoneticPr fontId="1"/>
  </si>
  <si>
    <t>Swift 20A ESC</t>
    <phoneticPr fontId="1"/>
  </si>
  <si>
    <t>Bat.Type</t>
    <phoneticPr fontId="1"/>
  </si>
  <si>
    <t>3/cell？</t>
    <phoneticPr fontId="1"/>
  </si>
  <si>
    <t>PLUSH-25</t>
    <phoneticPr fontId="1"/>
  </si>
  <si>
    <t>VS/S/N</t>
    <phoneticPr fontId="1"/>
  </si>
  <si>
    <t>2.6/2.85/3.1/cell</t>
    <phoneticPr fontId="1"/>
  </si>
  <si>
    <t>HOBBYWING</t>
    <phoneticPr fontId="1"/>
  </si>
  <si>
    <t>Turnigy(HOBBYWING OEM)</t>
    <phoneticPr fontId="1"/>
  </si>
  <si>
    <t>3.75/15/26.25</t>
    <phoneticPr fontId="1"/>
  </si>
  <si>
    <t>2.85/3.15/3.3/cell</t>
    <phoneticPr fontId="1"/>
  </si>
  <si>
    <t>VS/S/N</t>
    <phoneticPr fontId="1"/>
  </si>
  <si>
    <t>Fix?</t>
    <phoneticPr fontId="1"/>
  </si>
  <si>
    <t>Hz</t>
    <phoneticPr fontId="1"/>
  </si>
  <si>
    <t>rpm</t>
    <phoneticPr fontId="1"/>
  </si>
  <si>
    <t>force[g]</t>
    <phoneticPr fontId="1"/>
  </si>
  <si>
    <t>rpm</t>
    <phoneticPr fontId="1"/>
  </si>
  <si>
    <t>計測Hz</t>
    <rPh sb="0" eb="2">
      <t>ケイソク</t>
    </rPh>
    <phoneticPr fontId="1"/>
  </si>
  <si>
    <t>Time[m]</t>
    <phoneticPr fontId="1"/>
  </si>
  <si>
    <t>24℃</t>
    <phoneticPr fontId="1"/>
  </si>
  <si>
    <t>N</t>
    <phoneticPr fontId="1"/>
  </si>
  <si>
    <t>force[N]</t>
    <phoneticPr fontId="1"/>
  </si>
  <si>
    <t>rpm</t>
    <phoneticPr fontId="1"/>
  </si>
  <si>
    <t>g</t>
    <phoneticPr fontId="1"/>
  </si>
  <si>
    <t>N</t>
    <phoneticPr fontId="1"/>
  </si>
  <si>
    <t>5x3</t>
    <phoneticPr fontId="1"/>
  </si>
  <si>
    <t>lbf</t>
    <phoneticPr fontId="1"/>
  </si>
  <si>
    <t>in-lbf</t>
    <phoneticPr fontId="1"/>
  </si>
  <si>
    <t>Nm</t>
    <phoneticPr fontId="1"/>
  </si>
  <si>
    <t>5x3E</t>
    <phoneticPr fontId="1"/>
  </si>
  <si>
    <t>in-lbf</t>
    <phoneticPr fontId="1"/>
  </si>
  <si>
    <t>Nm</t>
    <phoneticPr fontId="1"/>
  </si>
  <si>
    <t>mN</t>
    <phoneticPr fontId="1"/>
  </si>
  <si>
    <t>mN</t>
    <phoneticPr fontId="1"/>
  </si>
  <si>
    <t>mNmm</t>
    <phoneticPr fontId="1"/>
  </si>
  <si>
    <t>pwm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</si>
</sst>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56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2" fillId="0" borderId="0" xfId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4" borderId="0" xfId="0" applyFill="1" applyBorder="1">
      <alignment vertical="center"/>
    </xf>
    <xf numFmtId="0" fontId="0" fillId="4" borderId="4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2" borderId="0" xfId="0" applyFill="1" applyBorder="1">
      <alignment vertical="center"/>
    </xf>
    <xf numFmtId="0" fontId="0" fillId="0" borderId="8" xfId="0" applyBorder="1">
      <alignment vertical="center"/>
    </xf>
    <xf numFmtId="0" fontId="0" fillId="2" borderId="4" xfId="0" applyFill="1" applyBorder="1">
      <alignment vertical="center"/>
    </xf>
    <xf numFmtId="0" fontId="0" fillId="3" borderId="1" xfId="0" applyFill="1" applyBorder="1">
      <alignment vertical="center"/>
    </xf>
    <xf numFmtId="56" fontId="0" fillId="0" borderId="0" xfId="0" applyNumberFormat="1">
      <alignment vertical="center"/>
    </xf>
    <xf numFmtId="0" fontId="0" fillId="5" borderId="1" xfId="0" applyFill="1" applyBorder="1">
      <alignment vertical="center"/>
    </xf>
    <xf numFmtId="0" fontId="0" fillId="5" borderId="0" xfId="0" applyFill="1" applyBorder="1">
      <alignment vertical="center"/>
    </xf>
    <xf numFmtId="0" fontId="0" fillId="0" borderId="0" xfId="0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>
      <alignment vertical="center"/>
    </xf>
    <xf numFmtId="56" fontId="0" fillId="8" borderId="0" xfId="0" applyNumberFormat="1" applyFill="1">
      <alignment vertical="center"/>
    </xf>
    <xf numFmtId="0" fontId="0" fillId="8" borderId="0" xfId="0" applyFill="1" applyAlignment="1">
      <alignment horizontal="center" vertical="center"/>
    </xf>
    <xf numFmtId="56" fontId="0" fillId="8" borderId="0" xfId="0" applyNumberFormat="1" applyFill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 textRotation="255"/>
    </xf>
    <xf numFmtId="0" fontId="0" fillId="0" borderId="7" xfId="0" applyBorder="1" applyAlignment="1">
      <alignment horizontal="center" vertical="center" textRotation="255"/>
    </xf>
    <xf numFmtId="0" fontId="0" fillId="0" borderId="8" xfId="0" applyBorder="1" applyAlignment="1">
      <alignment horizontal="center" vertical="center" textRotation="255"/>
    </xf>
  </cellXfs>
  <cellStyles count="2">
    <cellStyle name="ハイパーリンク" xfId="1" builtinId="8"/>
    <cellStyle name="標準" xfId="0" builtinId="0"/>
  </cellStyles>
  <dxfs count="6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1000D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spPr>
            <a:ln>
              <a:noFill/>
            </a:ln>
          </c:spPr>
          <c:marker>
            <c:symbol val="star"/>
            <c:size val="7"/>
          </c:marker>
          <c:trendline>
            <c:spPr>
              <a:ln>
                <a:prstDash val="dashDot"/>
              </a:ln>
            </c:spPr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Sheet1!$B$14:$B$20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</c:numCache>
            </c:numRef>
          </c:xVal>
          <c:yVal>
            <c:numRef>
              <c:f>Sheet1!$D$14:$D$20</c:f>
              <c:numCache>
                <c:formatCode>General</c:formatCode>
                <c:ptCount val="7"/>
                <c:pt idx="0">
                  <c:v>0.24020388000000001</c:v>
                </c:pt>
                <c:pt idx="1">
                  <c:v>0.96081552000000003</c:v>
                </c:pt>
                <c:pt idx="2">
                  <c:v>2.12624916</c:v>
                </c:pt>
                <c:pt idx="3">
                  <c:v>3.8566067400000001</c:v>
                </c:pt>
                <c:pt idx="4">
                  <c:v>6.0317863200000001</c:v>
                </c:pt>
                <c:pt idx="5">
                  <c:v>8.6962700999999996</c:v>
                </c:pt>
                <c:pt idx="6">
                  <c:v>11.86785096</c:v>
                </c:pt>
              </c:numCache>
            </c:numRef>
          </c:yVal>
          <c:smooth val="1"/>
        </c:ser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noFill/>
            </c:spPr>
          </c:marke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Sheet1!$B$14:$B$23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Sheet1!$F$14:$F$23</c:f>
              <c:numCache>
                <c:formatCode>General</c:formatCode>
                <c:ptCount val="10"/>
                <c:pt idx="0">
                  <c:v>0.29803074000000002</c:v>
                </c:pt>
                <c:pt idx="1">
                  <c:v>1.1965711800000001</c:v>
                </c:pt>
                <c:pt idx="2">
                  <c:v>2.7045177599999999</c:v>
                </c:pt>
                <c:pt idx="3">
                  <c:v>4.8085258199999998</c:v>
                </c:pt>
                <c:pt idx="4">
                  <c:v>7.5085953600000002</c:v>
                </c:pt>
                <c:pt idx="5">
                  <c:v>10.86255324</c:v>
                </c:pt>
                <c:pt idx="6">
                  <c:v>14.8348137</c:v>
                </c:pt>
                <c:pt idx="7">
                  <c:v>19.678925280000001</c:v>
                </c:pt>
                <c:pt idx="8">
                  <c:v>25.14578766</c:v>
                </c:pt>
                <c:pt idx="9">
                  <c:v>31.37329566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40832"/>
        <c:axId val="178446720"/>
      </c:scatterChart>
      <c:valAx>
        <c:axId val="178440832"/>
        <c:scaling>
          <c:orientation val="minMax"/>
          <c:max val="10000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8446720"/>
        <c:crosses val="autoZero"/>
        <c:crossBetween val="midCat"/>
        <c:majorUnit val="1000"/>
        <c:minorUnit val="500"/>
      </c:valAx>
      <c:valAx>
        <c:axId val="178446720"/>
        <c:scaling>
          <c:orientation val="minMax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784408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spPr>
            <a:ln>
              <a:noFill/>
            </a:ln>
          </c:spPr>
          <c:marker>
            <c:symbol val="star"/>
            <c:size val="7"/>
          </c:marker>
          <c:trendline>
            <c:spPr>
              <a:ln>
                <a:prstDash val="dashDot"/>
              </a:ln>
            </c:spPr>
            <c:trendlineType val="poly"/>
            <c:order val="3"/>
            <c:intercept val="0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Sheet1!$B$33:$B$39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</c:numCache>
            </c:numRef>
          </c:xVal>
          <c:yVal>
            <c:numRef>
              <c:f>Sheet1!$D$33:$D$39</c:f>
              <c:numCache>
                <c:formatCode>General</c:formatCode>
                <c:ptCount val="7"/>
                <c:pt idx="0">
                  <c:v>6.4401329160000001E-3</c:v>
                </c:pt>
                <c:pt idx="1">
                  <c:v>2.5873516452000003E-2</c:v>
                </c:pt>
                <c:pt idx="2">
                  <c:v>5.8300150608E-2</c:v>
                </c:pt>
                <c:pt idx="3">
                  <c:v>0.10383302017200001</c:v>
                </c:pt>
                <c:pt idx="4">
                  <c:v>0.15885661192799999</c:v>
                </c:pt>
                <c:pt idx="5">
                  <c:v>0.22404883460400002</c:v>
                </c:pt>
                <c:pt idx="6">
                  <c:v>0.30008759692800002</c:v>
                </c:pt>
              </c:numCache>
            </c:numRef>
          </c:yVal>
          <c:smooth val="1"/>
        </c:ser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noFill/>
            </c:spPr>
          </c:marker>
          <c:trendline>
            <c:trendlineType val="poly"/>
            <c:order val="3"/>
            <c:intercept val="0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Sheet1!$B$33:$B$42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Sheet1!$F$33:$F$42</c:f>
              <c:numCache>
                <c:formatCode>General</c:formatCode>
                <c:ptCount val="10"/>
                <c:pt idx="0">
                  <c:v>8.6998286760000005E-3</c:v>
                </c:pt>
                <c:pt idx="1">
                  <c:v>3.4799314704000002E-2</c:v>
                </c:pt>
                <c:pt idx="2">
                  <c:v>7.8524427659999993E-2</c:v>
                </c:pt>
                <c:pt idx="3">
                  <c:v>0.137389502208</c:v>
                </c:pt>
                <c:pt idx="4">
                  <c:v>0.21003872089200001</c:v>
                </c:pt>
                <c:pt idx="5">
                  <c:v>0.30370311014400003</c:v>
                </c:pt>
                <c:pt idx="6">
                  <c:v>0.42696951385199999</c:v>
                </c:pt>
                <c:pt idx="7">
                  <c:v>0.57464063176800007</c:v>
                </c:pt>
                <c:pt idx="8">
                  <c:v>0.748185266136</c:v>
                </c:pt>
                <c:pt idx="9">
                  <c:v>0.95042803665600006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71936"/>
        <c:axId val="180424704"/>
      </c:scatterChart>
      <c:valAx>
        <c:axId val="179271936"/>
        <c:scaling>
          <c:orientation val="minMax"/>
          <c:max val="10000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80424704"/>
        <c:crosses val="autoZero"/>
        <c:crossBetween val="midCat"/>
        <c:majorUnit val="1000"/>
        <c:minorUnit val="500"/>
      </c:valAx>
      <c:valAx>
        <c:axId val="180424704"/>
        <c:scaling>
          <c:orientation val="minMax"/>
          <c:max val="0.3000000000000001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179271936"/>
        <c:crosses val="autoZero"/>
        <c:crossBetween val="midCat"/>
        <c:majorUnit val="0.1"/>
        <c:minorUnit val="2.0000000000000007E-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-3.8272263211193092E-2"/>
                  <c:y val="4.1721643306781096E-2"/>
                </c:manualLayout>
              </c:layout>
              <c:numFmt formatCode="General" sourceLinked="0"/>
            </c:trendlineLbl>
          </c:trendline>
          <c:xVal>
            <c:numRef>
              <c:f>Sheet1!$I$39:$I$45</c:f>
              <c:numCache>
                <c:formatCode>General</c:formatCode>
                <c:ptCount val="7"/>
                <c:pt idx="0">
                  <c:v>1200</c:v>
                </c:pt>
                <c:pt idx="1">
                  <c:v>1250</c:v>
                </c:pt>
                <c:pt idx="2">
                  <c:v>1300</c:v>
                </c:pt>
                <c:pt idx="3">
                  <c:v>1350</c:v>
                </c:pt>
                <c:pt idx="4">
                  <c:v>1400</c:v>
                </c:pt>
                <c:pt idx="5">
                  <c:v>1450</c:v>
                </c:pt>
                <c:pt idx="6">
                  <c:v>1500</c:v>
                </c:pt>
              </c:numCache>
            </c:numRef>
          </c:xVal>
          <c:yVal>
            <c:numRef>
              <c:f>Sheet1!$J$39:$J$45</c:f>
              <c:numCache>
                <c:formatCode>General</c:formatCode>
                <c:ptCount val="7"/>
                <c:pt idx="0">
                  <c:v>3850</c:v>
                </c:pt>
                <c:pt idx="1">
                  <c:v>5580</c:v>
                </c:pt>
                <c:pt idx="2">
                  <c:v>7330</c:v>
                </c:pt>
                <c:pt idx="3">
                  <c:v>9090</c:v>
                </c:pt>
                <c:pt idx="4">
                  <c:v>10700</c:v>
                </c:pt>
                <c:pt idx="5">
                  <c:v>12150</c:v>
                </c:pt>
                <c:pt idx="6">
                  <c:v>13550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61952"/>
        <c:axId val="180463488"/>
      </c:scatterChart>
      <c:valAx>
        <c:axId val="18046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463488"/>
        <c:crosses val="autoZero"/>
        <c:crossBetween val="midCat"/>
      </c:valAx>
      <c:valAx>
        <c:axId val="180463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4619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080468336519662E-2"/>
          <c:y val="4.1487969215213534E-2"/>
          <c:w val="0.86074039510493283"/>
          <c:h val="0.9068491605513930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8575">
              <a:noFill/>
            </a:ln>
          </c:spPr>
          <c:xVal>
            <c:numRef>
              <c:f>Sheet1!$M$14:$M$33</c:f>
              <c:numCache>
                <c:formatCode>General</c:formatCode>
                <c:ptCount val="20"/>
                <c:pt idx="0">
                  <c:v>16.666666666666668</c:v>
                </c:pt>
                <c:pt idx="1">
                  <c:v>33.333333333333336</c:v>
                </c:pt>
                <c:pt idx="2">
                  <c:v>50</c:v>
                </c:pt>
                <c:pt idx="3">
                  <c:v>66.666666666666671</c:v>
                </c:pt>
                <c:pt idx="4">
                  <c:v>83.333333333333329</c:v>
                </c:pt>
                <c:pt idx="5">
                  <c:v>100</c:v>
                </c:pt>
                <c:pt idx="6">
                  <c:v>116.66666666666667</c:v>
                </c:pt>
                <c:pt idx="7">
                  <c:v>133.33333333333334</c:v>
                </c:pt>
                <c:pt idx="8">
                  <c:v>150</c:v>
                </c:pt>
                <c:pt idx="9">
                  <c:v>166.66666666666666</c:v>
                </c:pt>
                <c:pt idx="10">
                  <c:v>183.33333333333334</c:v>
                </c:pt>
                <c:pt idx="11">
                  <c:v>200</c:v>
                </c:pt>
                <c:pt idx="12">
                  <c:v>216.66666666666666</c:v>
                </c:pt>
                <c:pt idx="13">
                  <c:v>233.33333333333334</c:v>
                </c:pt>
                <c:pt idx="14">
                  <c:v>250</c:v>
                </c:pt>
                <c:pt idx="15">
                  <c:v>266.66666666666669</c:v>
                </c:pt>
                <c:pt idx="16">
                  <c:v>283.33333333333331</c:v>
                </c:pt>
                <c:pt idx="17">
                  <c:v>300</c:v>
                </c:pt>
                <c:pt idx="18">
                  <c:v>316.66666666666669</c:v>
                </c:pt>
                <c:pt idx="19">
                  <c:v>333.33333333333331</c:v>
                </c:pt>
              </c:numCache>
            </c:numRef>
          </c:xVal>
          <c:yVal>
            <c:numRef>
              <c:f>Sheet1!$W$14:$W$33</c:f>
              <c:numCache>
                <c:formatCode>General</c:formatCode>
                <c:ptCount val="20"/>
                <c:pt idx="0">
                  <c:v>8.8964400000000001</c:v>
                </c:pt>
                <c:pt idx="1">
                  <c:v>40.03398</c:v>
                </c:pt>
                <c:pt idx="2">
                  <c:v>88.964399999999998</c:v>
                </c:pt>
                <c:pt idx="3">
                  <c:v>160.13592</c:v>
                </c:pt>
                <c:pt idx="4">
                  <c:v>253.54854</c:v>
                </c:pt>
                <c:pt idx="5">
                  <c:v>364.75403999999997</c:v>
                </c:pt>
                <c:pt idx="6">
                  <c:v>498.20064000000002</c:v>
                </c:pt>
                <c:pt idx="7">
                  <c:v>649.44011999999998</c:v>
                </c:pt>
                <c:pt idx="8">
                  <c:v>822.9206999999999</c:v>
                </c:pt>
                <c:pt idx="9">
                  <c:v>1014.19416</c:v>
                </c:pt>
                <c:pt idx="10">
                  <c:v>1227.7087200000001</c:v>
                </c:pt>
                <c:pt idx="11">
                  <c:v>1463.4643800000001</c:v>
                </c:pt>
                <c:pt idx="12">
                  <c:v>1721.4611400000001</c:v>
                </c:pt>
                <c:pt idx="13">
                  <c:v>1997.2507800000001</c:v>
                </c:pt>
                <c:pt idx="14">
                  <c:v>2295.28152</c:v>
                </c:pt>
                <c:pt idx="15">
                  <c:v>2615.5533599999999</c:v>
                </c:pt>
                <c:pt idx="16">
                  <c:v>2958.0663</c:v>
                </c:pt>
                <c:pt idx="17">
                  <c:v>3322.8203399999998</c:v>
                </c:pt>
                <c:pt idx="18">
                  <c:v>3709.8154800000002</c:v>
                </c:pt>
                <c:pt idx="19">
                  <c:v>4114.6035000000002</c:v>
                </c:pt>
              </c:numCache>
            </c:numRef>
          </c:yVal>
          <c:smooth val="0"/>
        </c:ser>
        <c:ser>
          <c:idx val="1"/>
          <c:order val="1"/>
          <c:tx>
            <c:v>b</c:v>
          </c:tx>
          <c:spPr>
            <a:ln w="28575">
              <a:noFill/>
            </a:ln>
          </c:spPr>
          <c:trendline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8.5909767451908023E-2"/>
                  <c:y val="1.4444569774981194E-4"/>
                </c:manualLayout>
              </c:layout>
              <c:numFmt formatCode="General" sourceLinked="0"/>
            </c:trendlineLbl>
          </c:trendline>
          <c:xVal>
            <c:numRef>
              <c:f>Sheet1!$L$36:$L$55</c:f>
              <c:numCache>
                <c:formatCode>General</c:formatCode>
                <c:ptCount val="20"/>
                <c:pt idx="0">
                  <c:v>16.666666666666668</c:v>
                </c:pt>
                <c:pt idx="1">
                  <c:v>33.333333333333336</c:v>
                </c:pt>
                <c:pt idx="2">
                  <c:v>50</c:v>
                </c:pt>
                <c:pt idx="3">
                  <c:v>66.666666666666671</c:v>
                </c:pt>
                <c:pt idx="4">
                  <c:v>83.333333333333329</c:v>
                </c:pt>
                <c:pt idx="5">
                  <c:v>100</c:v>
                </c:pt>
                <c:pt idx="6">
                  <c:v>116.66666666666667</c:v>
                </c:pt>
                <c:pt idx="7">
                  <c:v>133.33333333333334</c:v>
                </c:pt>
                <c:pt idx="8">
                  <c:v>150</c:v>
                </c:pt>
                <c:pt idx="9">
                  <c:v>166.66666666666666</c:v>
                </c:pt>
                <c:pt idx="10">
                  <c:v>183.33333333333334</c:v>
                </c:pt>
                <c:pt idx="11">
                  <c:v>200</c:v>
                </c:pt>
                <c:pt idx="12">
                  <c:v>216.66666666666666</c:v>
                </c:pt>
                <c:pt idx="13">
                  <c:v>233.33333333333334</c:v>
                </c:pt>
                <c:pt idx="14">
                  <c:v>250</c:v>
                </c:pt>
                <c:pt idx="15">
                  <c:v>266.66666666666669</c:v>
                </c:pt>
                <c:pt idx="16">
                  <c:v>283.33333333333331</c:v>
                </c:pt>
                <c:pt idx="17">
                  <c:v>300</c:v>
                </c:pt>
                <c:pt idx="18">
                  <c:v>316.66666666666669</c:v>
                </c:pt>
                <c:pt idx="19">
                  <c:v>333.33333333333331</c:v>
                </c:pt>
              </c:numCache>
            </c:numRef>
          </c:xVal>
          <c:yVal>
            <c:numRef>
              <c:f>Sheet1!$O$36:$O$55</c:f>
              <c:numCache>
                <c:formatCode>General</c:formatCode>
                <c:ptCount val="20"/>
                <c:pt idx="0">
                  <c:v>10.388888888888891</c:v>
                </c:pt>
                <c:pt idx="1">
                  <c:v>41.555555555555564</c:v>
                </c:pt>
                <c:pt idx="2">
                  <c:v>93.5</c:v>
                </c:pt>
                <c:pt idx="3">
                  <c:v>166.22222222222226</c:v>
                </c:pt>
                <c:pt idx="4">
                  <c:v>259.72222222222223</c:v>
                </c:pt>
                <c:pt idx="5">
                  <c:v>374</c:v>
                </c:pt>
                <c:pt idx="6">
                  <c:v>509.0555555555556</c:v>
                </c:pt>
                <c:pt idx="7">
                  <c:v>664.88888888888903</c:v>
                </c:pt>
                <c:pt idx="8">
                  <c:v>841.50000000000011</c:v>
                </c:pt>
                <c:pt idx="9">
                  <c:v>1038.8888888888889</c:v>
                </c:pt>
                <c:pt idx="10">
                  <c:v>1257.0555555555559</c:v>
                </c:pt>
                <c:pt idx="11">
                  <c:v>1496</c:v>
                </c:pt>
                <c:pt idx="12">
                  <c:v>1755.7222222222222</c:v>
                </c:pt>
                <c:pt idx="13">
                  <c:v>2036.2222222222224</c:v>
                </c:pt>
                <c:pt idx="14">
                  <c:v>2337.5</c:v>
                </c:pt>
                <c:pt idx="15">
                  <c:v>2659.5555555555561</c:v>
                </c:pt>
                <c:pt idx="16">
                  <c:v>3002.3888888888887</c:v>
                </c:pt>
                <c:pt idx="17">
                  <c:v>3366.0000000000005</c:v>
                </c:pt>
                <c:pt idx="18">
                  <c:v>3750.3888888888896</c:v>
                </c:pt>
                <c:pt idx="19">
                  <c:v>4155.5555555555557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76928"/>
        <c:axId val="180478720"/>
      </c:scatterChart>
      <c:valAx>
        <c:axId val="18047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478720"/>
        <c:crosses val="autoZero"/>
        <c:crossBetween val="midCat"/>
      </c:valAx>
      <c:valAx>
        <c:axId val="180478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4769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Sheet1!$M$14:$M$33</c:f>
              <c:numCache>
                <c:formatCode>General</c:formatCode>
                <c:ptCount val="20"/>
                <c:pt idx="0">
                  <c:v>16.666666666666668</c:v>
                </c:pt>
                <c:pt idx="1">
                  <c:v>33.333333333333336</c:v>
                </c:pt>
                <c:pt idx="2">
                  <c:v>50</c:v>
                </c:pt>
                <c:pt idx="3">
                  <c:v>66.666666666666671</c:v>
                </c:pt>
                <c:pt idx="4">
                  <c:v>83.333333333333329</c:v>
                </c:pt>
                <c:pt idx="5">
                  <c:v>100</c:v>
                </c:pt>
                <c:pt idx="6">
                  <c:v>116.66666666666667</c:v>
                </c:pt>
                <c:pt idx="7">
                  <c:v>133.33333333333334</c:v>
                </c:pt>
                <c:pt idx="8">
                  <c:v>150</c:v>
                </c:pt>
                <c:pt idx="9">
                  <c:v>166.66666666666666</c:v>
                </c:pt>
                <c:pt idx="10">
                  <c:v>183.33333333333334</c:v>
                </c:pt>
                <c:pt idx="11">
                  <c:v>200</c:v>
                </c:pt>
                <c:pt idx="12">
                  <c:v>216.66666666666666</c:v>
                </c:pt>
                <c:pt idx="13">
                  <c:v>233.33333333333334</c:v>
                </c:pt>
                <c:pt idx="14">
                  <c:v>250</c:v>
                </c:pt>
                <c:pt idx="15">
                  <c:v>266.66666666666669</c:v>
                </c:pt>
                <c:pt idx="16">
                  <c:v>283.33333333333331</c:v>
                </c:pt>
                <c:pt idx="17">
                  <c:v>300</c:v>
                </c:pt>
                <c:pt idx="18">
                  <c:v>316.66666666666669</c:v>
                </c:pt>
                <c:pt idx="19">
                  <c:v>333.33333333333331</c:v>
                </c:pt>
              </c:numCache>
            </c:numRef>
          </c:xVal>
          <c:yVal>
            <c:numRef>
              <c:f>Sheet1!$Z$14:$Z$33</c:f>
              <c:numCache>
                <c:formatCode>General</c:formatCode>
                <c:ptCount val="20"/>
                <c:pt idx="0">
                  <c:v>112.98478800000001</c:v>
                </c:pt>
                <c:pt idx="1">
                  <c:v>338.954364</c:v>
                </c:pt>
                <c:pt idx="2">
                  <c:v>790.89351600000009</c:v>
                </c:pt>
                <c:pt idx="3">
                  <c:v>1468.802244</c:v>
                </c:pt>
                <c:pt idx="4">
                  <c:v>2259.6957600000001</c:v>
                </c:pt>
                <c:pt idx="5">
                  <c:v>3276.5588520000001</c:v>
                </c:pt>
                <c:pt idx="6">
                  <c:v>4406.4067320000004</c:v>
                </c:pt>
                <c:pt idx="7">
                  <c:v>5762.2241880000001</c:v>
                </c:pt>
                <c:pt idx="8">
                  <c:v>7344.0112200000003</c:v>
                </c:pt>
                <c:pt idx="9">
                  <c:v>9038.7830400000003</c:v>
                </c:pt>
                <c:pt idx="10">
                  <c:v>10959.524436</c:v>
                </c:pt>
                <c:pt idx="11">
                  <c:v>13106.235408</c:v>
                </c:pt>
                <c:pt idx="12">
                  <c:v>15478.915956000001</c:v>
                </c:pt>
                <c:pt idx="13">
                  <c:v>17964.581292000003</c:v>
                </c:pt>
                <c:pt idx="14">
                  <c:v>20676.216204</c:v>
                </c:pt>
                <c:pt idx="15">
                  <c:v>23613.820692000001</c:v>
                </c:pt>
                <c:pt idx="16">
                  <c:v>26664.409968</c:v>
                </c:pt>
                <c:pt idx="17">
                  <c:v>30053.953608000003</c:v>
                </c:pt>
                <c:pt idx="18">
                  <c:v>33556.482036000001</c:v>
                </c:pt>
                <c:pt idx="19">
                  <c:v>37397.964828000004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noFill/>
            </a:ln>
          </c:spPr>
          <c:xVal>
            <c:numRef>
              <c:f>Sheet1!$L$36:$L$55</c:f>
              <c:numCache>
                <c:formatCode>General</c:formatCode>
                <c:ptCount val="20"/>
                <c:pt idx="0">
                  <c:v>16.666666666666668</c:v>
                </c:pt>
                <c:pt idx="1">
                  <c:v>33.333333333333336</c:v>
                </c:pt>
                <c:pt idx="2">
                  <c:v>50</c:v>
                </c:pt>
                <c:pt idx="3">
                  <c:v>66.666666666666671</c:v>
                </c:pt>
                <c:pt idx="4">
                  <c:v>83.333333333333329</c:v>
                </c:pt>
                <c:pt idx="5">
                  <c:v>100</c:v>
                </c:pt>
                <c:pt idx="6">
                  <c:v>116.66666666666667</c:v>
                </c:pt>
                <c:pt idx="7">
                  <c:v>133.33333333333334</c:v>
                </c:pt>
                <c:pt idx="8">
                  <c:v>150</c:v>
                </c:pt>
                <c:pt idx="9">
                  <c:v>166.66666666666666</c:v>
                </c:pt>
                <c:pt idx="10">
                  <c:v>183.33333333333334</c:v>
                </c:pt>
                <c:pt idx="11">
                  <c:v>200</c:v>
                </c:pt>
                <c:pt idx="12">
                  <c:v>216.66666666666666</c:v>
                </c:pt>
                <c:pt idx="13">
                  <c:v>233.33333333333334</c:v>
                </c:pt>
                <c:pt idx="14">
                  <c:v>250</c:v>
                </c:pt>
                <c:pt idx="15">
                  <c:v>266.66666666666669</c:v>
                </c:pt>
                <c:pt idx="16">
                  <c:v>283.33333333333331</c:v>
                </c:pt>
                <c:pt idx="17">
                  <c:v>300</c:v>
                </c:pt>
                <c:pt idx="18">
                  <c:v>316.66666666666669</c:v>
                </c:pt>
                <c:pt idx="19">
                  <c:v>333.33333333333331</c:v>
                </c:pt>
              </c:numCache>
            </c:numRef>
          </c:xVal>
          <c:yVal>
            <c:numRef>
              <c:f>Sheet1!$P$36:$P$55</c:f>
              <c:numCache>
                <c:formatCode>General</c:formatCode>
                <c:ptCount val="20"/>
                <c:pt idx="0">
                  <c:v>95.222222222222243</c:v>
                </c:pt>
                <c:pt idx="1">
                  <c:v>380.88888888888897</c:v>
                </c:pt>
                <c:pt idx="2">
                  <c:v>857</c:v>
                </c:pt>
                <c:pt idx="3">
                  <c:v>1523.5555555555559</c:v>
                </c:pt>
                <c:pt idx="4">
                  <c:v>2380.5555555555552</c:v>
                </c:pt>
                <c:pt idx="5">
                  <c:v>3428</c:v>
                </c:pt>
                <c:pt idx="6">
                  <c:v>4665.8888888888887</c:v>
                </c:pt>
                <c:pt idx="7">
                  <c:v>6094.2222222222235</c:v>
                </c:pt>
                <c:pt idx="8">
                  <c:v>7713</c:v>
                </c:pt>
                <c:pt idx="9">
                  <c:v>9522.2222222222208</c:v>
                </c:pt>
                <c:pt idx="10">
                  <c:v>11521.888888888891</c:v>
                </c:pt>
                <c:pt idx="11">
                  <c:v>13712</c:v>
                </c:pt>
                <c:pt idx="12">
                  <c:v>16092.555555555553</c:v>
                </c:pt>
                <c:pt idx="13">
                  <c:v>18663.555555555555</c:v>
                </c:pt>
                <c:pt idx="14">
                  <c:v>21425</c:v>
                </c:pt>
                <c:pt idx="15">
                  <c:v>24376.888888888894</c:v>
                </c:pt>
                <c:pt idx="16">
                  <c:v>27519.222222222219</c:v>
                </c:pt>
                <c:pt idx="17">
                  <c:v>30852</c:v>
                </c:pt>
                <c:pt idx="18">
                  <c:v>34375.222222222226</c:v>
                </c:pt>
                <c:pt idx="19">
                  <c:v>38088.888888888883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74016"/>
        <c:axId val="180775552"/>
      </c:scatterChart>
      <c:valAx>
        <c:axId val="18077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775552"/>
        <c:crosses val="autoZero"/>
        <c:crossBetween val="midCat"/>
      </c:valAx>
      <c:valAx>
        <c:axId val="180775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7740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48756303836004"/>
          <c:y val="3.263935185185185E-2"/>
          <c:w val="0.78701135935243871"/>
          <c:h val="0.83344722222222223"/>
        </c:manualLayout>
      </c:layout>
      <c:scatterChart>
        <c:scatterStyle val="smoothMarker"/>
        <c:varyColors val="0"/>
        <c:ser>
          <c:idx val="0"/>
          <c:order val="0"/>
          <c:tx>
            <c:v>Thrust [N]</c:v>
          </c:tx>
          <c:spPr>
            <a:ln>
              <a:noFill/>
            </a:ln>
          </c:spPr>
          <c:marker>
            <c:symbol val="diamond"/>
            <c:size val="7"/>
          </c:marker>
          <c:trendline>
            <c:trendlineType val="poly"/>
            <c:order val="2"/>
            <c:intercept val="0"/>
            <c:dispRSqr val="0"/>
            <c:dispEq val="0"/>
          </c:trendline>
          <c:xVal>
            <c:numRef>
              <c:f>Sheet1!$L$14:$L$33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xVal>
          <c:yVal>
            <c:numRef>
              <c:f>Sheet1!$O$14:$O$33</c:f>
              <c:numCache>
                <c:formatCode>General</c:formatCode>
                <c:ptCount val="20"/>
                <c:pt idx="0">
                  <c:v>1.3344660000000001E-2</c:v>
                </c:pt>
                <c:pt idx="1">
                  <c:v>4.44822E-2</c:v>
                </c:pt>
                <c:pt idx="2">
                  <c:v>0.10230905999999999</c:v>
                </c:pt>
                <c:pt idx="3">
                  <c:v>0.18237702</c:v>
                </c:pt>
                <c:pt idx="4">
                  <c:v>0.28023786000000001</c:v>
                </c:pt>
                <c:pt idx="5">
                  <c:v>0.40478801999999997</c:v>
                </c:pt>
                <c:pt idx="6">
                  <c:v>0.55157928000000001</c:v>
                </c:pt>
                <c:pt idx="7">
                  <c:v>0.72061164</c:v>
                </c:pt>
                <c:pt idx="8">
                  <c:v>0.91633332000000001</c:v>
                </c:pt>
                <c:pt idx="9">
                  <c:v>1.12984788</c:v>
                </c:pt>
                <c:pt idx="10">
                  <c:v>1.37005176</c:v>
                </c:pt>
                <c:pt idx="11">
                  <c:v>1.6280485199999999</c:v>
                </c:pt>
                <c:pt idx="12">
                  <c:v>1.9127346000000001</c:v>
                </c:pt>
                <c:pt idx="13">
                  <c:v>2.22411</c:v>
                </c:pt>
                <c:pt idx="14">
                  <c:v>2.5577264999999998</c:v>
                </c:pt>
                <c:pt idx="15">
                  <c:v>2.9135841</c:v>
                </c:pt>
                <c:pt idx="16">
                  <c:v>3.2916827999999998</c:v>
                </c:pt>
                <c:pt idx="17">
                  <c:v>3.69647082</c:v>
                </c:pt>
                <c:pt idx="18">
                  <c:v>4.1234999400000003</c:v>
                </c:pt>
                <c:pt idx="19">
                  <c:v>4.5727701600000001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180928"/>
        <c:axId val="275217792"/>
      </c:scatterChart>
      <c:scatterChart>
        <c:scatterStyle val="smoothMarker"/>
        <c:varyColors val="0"/>
        <c:ser>
          <c:idx val="1"/>
          <c:order val="1"/>
          <c:tx>
            <c:v>Torque [N-m]</c:v>
          </c:tx>
          <c:spPr>
            <a:ln>
              <a:noFill/>
            </a:ln>
          </c:spPr>
          <c:trendline>
            <c:trendlineType val="poly"/>
            <c:order val="3"/>
            <c:dispRSqr val="0"/>
            <c:dispEq val="0"/>
          </c:trendline>
          <c:xVal>
            <c:numRef>
              <c:f>Sheet1!$L$14:$L$33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xVal>
          <c:yVal>
            <c:numRef>
              <c:f>Sheet1!$R$14:$R$33</c:f>
              <c:numCache>
                <c:formatCode>General</c:formatCode>
                <c:ptCount val="20"/>
                <c:pt idx="0">
                  <c:v>1.1298478800000001E-4</c:v>
                </c:pt>
                <c:pt idx="1">
                  <c:v>4.5193915200000004E-4</c:v>
                </c:pt>
                <c:pt idx="2">
                  <c:v>9.0387830400000008E-4</c:v>
                </c:pt>
                <c:pt idx="3">
                  <c:v>1.6947718200000001E-3</c:v>
                </c:pt>
                <c:pt idx="4">
                  <c:v>2.598650124E-3</c:v>
                </c:pt>
                <c:pt idx="5">
                  <c:v>3.8414827920000005E-3</c:v>
                </c:pt>
                <c:pt idx="6">
                  <c:v>5.1973002480000001E-3</c:v>
                </c:pt>
                <c:pt idx="7">
                  <c:v>6.7790872800000002E-3</c:v>
                </c:pt>
                <c:pt idx="8">
                  <c:v>8.5868438880000002E-3</c:v>
                </c:pt>
                <c:pt idx="9">
                  <c:v>1.0620570072000001E-2</c:v>
                </c:pt>
                <c:pt idx="10">
                  <c:v>1.2993250620000001E-2</c:v>
                </c:pt>
                <c:pt idx="11">
                  <c:v>1.5478915956000001E-2</c:v>
                </c:pt>
                <c:pt idx="12">
                  <c:v>1.8190550868000002E-2</c:v>
                </c:pt>
                <c:pt idx="13">
                  <c:v>2.1128155355999999E-2</c:v>
                </c:pt>
                <c:pt idx="14">
                  <c:v>2.4291729420000002E-2</c:v>
                </c:pt>
                <c:pt idx="15">
                  <c:v>2.7681273060000001E-2</c:v>
                </c:pt>
                <c:pt idx="16">
                  <c:v>3.1409771064000003E-2</c:v>
                </c:pt>
                <c:pt idx="17">
                  <c:v>3.5138269068000001E-2</c:v>
                </c:pt>
                <c:pt idx="18">
                  <c:v>3.8866767072E-2</c:v>
                </c:pt>
                <c:pt idx="19">
                  <c:v>4.2934219440000004E-2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227392"/>
        <c:axId val="275219968"/>
      </c:scatterChart>
      <c:valAx>
        <c:axId val="275180928"/>
        <c:scaling>
          <c:orientation val="minMax"/>
          <c:min val="2000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ja-JP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Rotation</a:t>
                </a:r>
                <a:r>
                  <a:rPr lang="en-US" altLang="ja-JP" sz="1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</a:t>
                </a:r>
                <a:r>
                  <a:rPr lang="en-US" altLang="ja-JP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rpm]</a:t>
                </a:r>
                <a:endParaRPr lang="ja-JP" altLang="en-US" sz="16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spPr>
          <a:ln w="1905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ja-JP"/>
          </a:p>
        </c:txPr>
        <c:crossAx val="275217792"/>
        <c:crosses val="autoZero"/>
        <c:crossBetween val="midCat"/>
      </c:valAx>
      <c:valAx>
        <c:axId val="275217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6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ja-JP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Thurust</a:t>
                </a:r>
                <a:r>
                  <a:rPr lang="ja-JP" altLang="en-US" sz="1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altLang="ja-JP" sz="1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[N]</a:t>
                </a:r>
                <a:endParaRPr lang="ja-JP" altLang="en-US" sz="16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4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ja-JP"/>
          </a:p>
        </c:txPr>
        <c:crossAx val="275180928"/>
        <c:crosses val="autoZero"/>
        <c:crossBetween val="midCat"/>
      </c:valAx>
      <c:valAx>
        <c:axId val="275219968"/>
        <c:scaling>
          <c:orientation val="minMax"/>
          <c:max val="5.000000000000001E-2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6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ja-JP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Torque</a:t>
                </a:r>
                <a:r>
                  <a:rPr lang="en-US" altLang="ja-JP" sz="1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</a:t>
                </a:r>
                <a:r>
                  <a:rPr lang="en-US" altLang="ja-JP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N-m]</a:t>
                </a:r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4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ja-JP"/>
          </a:p>
        </c:txPr>
        <c:crossAx val="275227392"/>
        <c:crosses val="max"/>
        <c:crossBetween val="midCat"/>
      </c:valAx>
      <c:valAx>
        <c:axId val="275227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75219968"/>
        <c:crosses val="autoZero"/>
        <c:crossBetween val="midCat"/>
      </c:valAx>
      <c:spPr>
        <a:ln w="19050">
          <a:solidFill>
            <a:sysClr val="windowText" lastClr="000000"/>
          </a:solidFill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3782813733649146"/>
          <c:y val="7.1931481481481485E-2"/>
          <c:w val="0.20271657099773097"/>
          <c:h val="0.11444212962962963"/>
        </c:manualLayout>
      </c:layout>
      <c:overlay val="0"/>
      <c:spPr>
        <a:ln>
          <a:solidFill>
            <a:schemeClr val="tx1"/>
          </a:solidFill>
        </a:ln>
      </c:spPr>
      <c:txPr>
        <a:bodyPr/>
        <a:lstStyle/>
        <a:p>
          <a:pPr>
            <a:defRPr sz="16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'A20-22LEVO'!$G$2</c:f>
              <c:strCache>
                <c:ptCount val="1"/>
                <c:pt idx="0">
                  <c:v>有効トルク[Nm]</c:v>
                </c:pt>
              </c:strCache>
            </c:strRef>
          </c:tx>
          <c:marker>
            <c:symbol val="none"/>
          </c:marker>
          <c:xVal>
            <c:numRef>
              <c:f>'A20-22LEVO'!$F$3:$F$49</c:f>
              <c:numCache>
                <c:formatCode>General</c:formatCode>
                <c:ptCount val="47"/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  <c:pt idx="5">
                  <c:v>3.75</c:v>
                </c:pt>
                <c:pt idx="6">
                  <c:v>4.5</c:v>
                </c:pt>
                <c:pt idx="7">
                  <c:v>5.25</c:v>
                </c:pt>
                <c:pt idx="8">
                  <c:v>6</c:v>
                </c:pt>
                <c:pt idx="9">
                  <c:v>6.75</c:v>
                </c:pt>
                <c:pt idx="10">
                  <c:v>7.5</c:v>
                </c:pt>
                <c:pt idx="11">
                  <c:v>8.25</c:v>
                </c:pt>
                <c:pt idx="12">
                  <c:v>9</c:v>
                </c:pt>
                <c:pt idx="13">
                  <c:v>9.75</c:v>
                </c:pt>
                <c:pt idx="14">
                  <c:v>10.5</c:v>
                </c:pt>
                <c:pt idx="15">
                  <c:v>11.25</c:v>
                </c:pt>
                <c:pt idx="16">
                  <c:v>12</c:v>
                </c:pt>
                <c:pt idx="17">
                  <c:v>12.75</c:v>
                </c:pt>
                <c:pt idx="18">
                  <c:v>13.5</c:v>
                </c:pt>
                <c:pt idx="19">
                  <c:v>14.25</c:v>
                </c:pt>
                <c:pt idx="20">
                  <c:v>15</c:v>
                </c:pt>
                <c:pt idx="21">
                  <c:v>15.75</c:v>
                </c:pt>
                <c:pt idx="22">
                  <c:v>16.5</c:v>
                </c:pt>
                <c:pt idx="23">
                  <c:v>17.25</c:v>
                </c:pt>
                <c:pt idx="24">
                  <c:v>18</c:v>
                </c:pt>
                <c:pt idx="25">
                  <c:v>18.75</c:v>
                </c:pt>
                <c:pt idx="26">
                  <c:v>19</c:v>
                </c:pt>
              </c:numCache>
            </c:numRef>
          </c:xVal>
          <c:yVal>
            <c:numRef>
              <c:f>'A20-22LEVO'!$K$3:$K$49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7.7510524233065929</c:v>
                </c:pt>
                <c:pt idx="3">
                  <c:v>15.502104846613186</c:v>
                </c:pt>
                <c:pt idx="4">
                  <c:v>23.253157269919779</c:v>
                </c:pt>
                <c:pt idx="5">
                  <c:v>31.004209693226372</c:v>
                </c:pt>
                <c:pt idx="6">
                  <c:v>38.755262116532961</c:v>
                </c:pt>
                <c:pt idx="7">
                  <c:v>46.506314539839558</c:v>
                </c:pt>
                <c:pt idx="8">
                  <c:v>54.257366963146147</c:v>
                </c:pt>
                <c:pt idx="9">
                  <c:v>62.008419386452744</c:v>
                </c:pt>
                <c:pt idx="10">
                  <c:v>69.759471809759333</c:v>
                </c:pt>
                <c:pt idx="11">
                  <c:v>77.510524233065922</c:v>
                </c:pt>
                <c:pt idx="12">
                  <c:v>85.261576656372512</c:v>
                </c:pt>
                <c:pt idx="13">
                  <c:v>93.012629079679115</c:v>
                </c:pt>
                <c:pt idx="14">
                  <c:v>100.7636815029857</c:v>
                </c:pt>
                <c:pt idx="15">
                  <c:v>108.51473392629229</c:v>
                </c:pt>
                <c:pt idx="16">
                  <c:v>116.26578634959888</c:v>
                </c:pt>
                <c:pt idx="17">
                  <c:v>124.01683877290549</c:v>
                </c:pt>
                <c:pt idx="18">
                  <c:v>131.76789119621208</c:v>
                </c:pt>
                <c:pt idx="19">
                  <c:v>139.51894361951867</c:v>
                </c:pt>
                <c:pt idx="20">
                  <c:v>147.26999604282526</c:v>
                </c:pt>
                <c:pt idx="21">
                  <c:v>155.02104846613184</c:v>
                </c:pt>
                <c:pt idx="22">
                  <c:v>162.77210088943843</c:v>
                </c:pt>
                <c:pt idx="23">
                  <c:v>170.52315331274502</c:v>
                </c:pt>
                <c:pt idx="24">
                  <c:v>178.27420573605164</c:v>
                </c:pt>
                <c:pt idx="25">
                  <c:v>186.02525815935823</c:v>
                </c:pt>
                <c:pt idx="26">
                  <c:v>188.6089423004604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'A20-22LEVO'!$J$2</c:f>
              <c:strCache>
                <c:ptCount val="1"/>
                <c:pt idx="0">
                  <c:v>効率[%]</c:v>
                </c:pt>
              </c:strCache>
            </c:strRef>
          </c:tx>
          <c:marker>
            <c:symbol val="none"/>
          </c:marker>
          <c:xVal>
            <c:numRef>
              <c:f>'A20-22LEVO'!$F$3:$F$49</c:f>
              <c:numCache>
                <c:formatCode>General</c:formatCode>
                <c:ptCount val="47"/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  <c:pt idx="5">
                  <c:v>3.75</c:v>
                </c:pt>
                <c:pt idx="6">
                  <c:v>4.5</c:v>
                </c:pt>
                <c:pt idx="7">
                  <c:v>5.25</c:v>
                </c:pt>
                <c:pt idx="8">
                  <c:v>6</c:v>
                </c:pt>
                <c:pt idx="9">
                  <c:v>6.75</c:v>
                </c:pt>
                <c:pt idx="10">
                  <c:v>7.5</c:v>
                </c:pt>
                <c:pt idx="11">
                  <c:v>8.25</c:v>
                </c:pt>
                <c:pt idx="12">
                  <c:v>9</c:v>
                </c:pt>
                <c:pt idx="13">
                  <c:v>9.75</c:v>
                </c:pt>
                <c:pt idx="14">
                  <c:v>10.5</c:v>
                </c:pt>
                <c:pt idx="15">
                  <c:v>11.25</c:v>
                </c:pt>
                <c:pt idx="16">
                  <c:v>12</c:v>
                </c:pt>
                <c:pt idx="17">
                  <c:v>12.75</c:v>
                </c:pt>
                <c:pt idx="18">
                  <c:v>13.5</c:v>
                </c:pt>
                <c:pt idx="19">
                  <c:v>14.25</c:v>
                </c:pt>
                <c:pt idx="20">
                  <c:v>15</c:v>
                </c:pt>
                <c:pt idx="21">
                  <c:v>15.75</c:v>
                </c:pt>
                <c:pt idx="22">
                  <c:v>16.5</c:v>
                </c:pt>
                <c:pt idx="23">
                  <c:v>17.25</c:v>
                </c:pt>
                <c:pt idx="24">
                  <c:v>18</c:v>
                </c:pt>
                <c:pt idx="25">
                  <c:v>18.75</c:v>
                </c:pt>
                <c:pt idx="26">
                  <c:v>19</c:v>
                </c:pt>
              </c:numCache>
            </c:numRef>
          </c:xVal>
          <c:yVal>
            <c:numRef>
              <c:f>'A20-22LEVO'!$J$3:$J$49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49.501865671641795</c:v>
                </c:pt>
                <c:pt idx="3">
                  <c:v>65.338308457711449</c:v>
                </c:pt>
                <c:pt idx="4">
                  <c:v>72.758395522388085</c:v>
                </c:pt>
                <c:pt idx="5">
                  <c:v>76.811940298507508</c:v>
                </c:pt>
                <c:pt idx="6">
                  <c:v>79.182213930348283</c:v>
                </c:pt>
                <c:pt idx="7">
                  <c:v>80.590618336887033</c:v>
                </c:pt>
                <c:pt idx="8">
                  <c:v>81.397854477611972</c:v>
                </c:pt>
                <c:pt idx="9">
                  <c:v>81.804311774461084</c:v>
                </c:pt>
                <c:pt idx="10">
                  <c:v>81.930223880597069</c:v>
                </c:pt>
                <c:pt idx="11">
                  <c:v>81.852103120759907</c:v>
                </c:pt>
                <c:pt idx="12">
                  <c:v>81.620957711442841</c:v>
                </c:pt>
                <c:pt idx="13">
                  <c:v>81.272101033295144</c:v>
                </c:pt>
                <c:pt idx="14">
                  <c:v>80.830756929637602</c:v>
                </c:pt>
                <c:pt idx="15">
                  <c:v>80.315422885572247</c:v>
                </c:pt>
                <c:pt idx="16">
                  <c:v>79.739972014925442</c:v>
                </c:pt>
                <c:pt idx="17">
                  <c:v>79.115013169446996</c:v>
                </c:pt>
                <c:pt idx="18">
                  <c:v>78.448797678275398</c:v>
                </c:pt>
                <c:pt idx="19">
                  <c:v>77.747839748625395</c:v>
                </c:pt>
                <c:pt idx="20">
                  <c:v>77.017350746268761</c:v>
                </c:pt>
                <c:pt idx="21">
                  <c:v>76.261549395877864</c:v>
                </c:pt>
                <c:pt idx="22">
                  <c:v>75.483887381275565</c:v>
                </c:pt>
                <c:pt idx="23">
                  <c:v>74.687216093445926</c:v>
                </c:pt>
                <c:pt idx="24">
                  <c:v>73.873911691542418</c:v>
                </c:pt>
                <c:pt idx="25">
                  <c:v>73.045970149253861</c:v>
                </c:pt>
                <c:pt idx="26">
                  <c:v>72.767036527887001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51552"/>
        <c:axId val="179353088"/>
      </c:scatterChart>
      <c:scatterChart>
        <c:scatterStyle val="smoothMarker"/>
        <c:varyColors val="0"/>
        <c:ser>
          <c:idx val="1"/>
          <c:order val="1"/>
          <c:tx>
            <c:strRef>
              <c:f>'A20-22LEVO'!$H$2</c:f>
              <c:strCache>
                <c:ptCount val="1"/>
                <c:pt idx="0">
                  <c:v>回転数[rpm]</c:v>
                </c:pt>
              </c:strCache>
            </c:strRef>
          </c:tx>
          <c:marker>
            <c:symbol val="none"/>
          </c:marker>
          <c:xVal>
            <c:numRef>
              <c:f>'A20-22LEVO'!$F$3:$F$49</c:f>
              <c:numCache>
                <c:formatCode>General</c:formatCode>
                <c:ptCount val="47"/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  <c:pt idx="5">
                  <c:v>3.75</c:v>
                </c:pt>
                <c:pt idx="6">
                  <c:v>4.5</c:v>
                </c:pt>
                <c:pt idx="7">
                  <c:v>5.25</c:v>
                </c:pt>
                <c:pt idx="8">
                  <c:v>6</c:v>
                </c:pt>
                <c:pt idx="9">
                  <c:v>6.75</c:v>
                </c:pt>
                <c:pt idx="10">
                  <c:v>7.5</c:v>
                </c:pt>
                <c:pt idx="11">
                  <c:v>8.25</c:v>
                </c:pt>
                <c:pt idx="12">
                  <c:v>9</c:v>
                </c:pt>
                <c:pt idx="13">
                  <c:v>9.75</c:v>
                </c:pt>
                <c:pt idx="14">
                  <c:v>10.5</c:v>
                </c:pt>
                <c:pt idx="15">
                  <c:v>11.25</c:v>
                </c:pt>
                <c:pt idx="16">
                  <c:v>12</c:v>
                </c:pt>
                <c:pt idx="17">
                  <c:v>12.75</c:v>
                </c:pt>
                <c:pt idx="18">
                  <c:v>13.5</c:v>
                </c:pt>
                <c:pt idx="19">
                  <c:v>14.25</c:v>
                </c:pt>
                <c:pt idx="20">
                  <c:v>15</c:v>
                </c:pt>
                <c:pt idx="21">
                  <c:v>15.75</c:v>
                </c:pt>
                <c:pt idx="22">
                  <c:v>16.5</c:v>
                </c:pt>
                <c:pt idx="23">
                  <c:v>17.25</c:v>
                </c:pt>
                <c:pt idx="24">
                  <c:v>18</c:v>
                </c:pt>
                <c:pt idx="25">
                  <c:v>18.75</c:v>
                </c:pt>
                <c:pt idx="26">
                  <c:v>19</c:v>
                </c:pt>
              </c:numCache>
            </c:numRef>
          </c:xVal>
          <c:yVal>
            <c:numRef>
              <c:f>'A20-22LEVO'!$H$3:$H$49</c:f>
              <c:numCache>
                <c:formatCode>General</c:formatCode>
                <c:ptCount val="47"/>
                <c:pt idx="1">
                  <c:v>6190.8</c:v>
                </c:pt>
                <c:pt idx="2">
                  <c:v>6129.1230000000005</c:v>
                </c:pt>
                <c:pt idx="3">
                  <c:v>6067.4460000000008</c:v>
                </c:pt>
                <c:pt idx="4">
                  <c:v>6005.7690000000011</c:v>
                </c:pt>
                <c:pt idx="5">
                  <c:v>5944.0920000000015</c:v>
                </c:pt>
                <c:pt idx="6">
                  <c:v>5882.4150000000018</c:v>
                </c:pt>
                <c:pt idx="7">
                  <c:v>5820.7380000000021</c:v>
                </c:pt>
                <c:pt idx="8">
                  <c:v>5759.0610000000024</c:v>
                </c:pt>
                <c:pt idx="9">
                  <c:v>5697.3840000000027</c:v>
                </c:pt>
                <c:pt idx="10">
                  <c:v>5635.7070000000031</c:v>
                </c:pt>
                <c:pt idx="11">
                  <c:v>5574.0300000000034</c:v>
                </c:pt>
                <c:pt idx="12">
                  <c:v>5512.3530000000037</c:v>
                </c:pt>
                <c:pt idx="13">
                  <c:v>5450.676000000004</c:v>
                </c:pt>
                <c:pt idx="14">
                  <c:v>5388.9990000000043</c:v>
                </c:pt>
                <c:pt idx="15">
                  <c:v>5327.3220000000047</c:v>
                </c:pt>
                <c:pt idx="16">
                  <c:v>5265.645000000005</c:v>
                </c:pt>
                <c:pt idx="17">
                  <c:v>5203.9680000000053</c:v>
                </c:pt>
                <c:pt idx="18">
                  <c:v>5142.2910000000056</c:v>
                </c:pt>
                <c:pt idx="19">
                  <c:v>5080.6140000000059</c:v>
                </c:pt>
                <c:pt idx="20">
                  <c:v>5018.9370000000063</c:v>
                </c:pt>
                <c:pt idx="21">
                  <c:v>4957.2600000000066</c:v>
                </c:pt>
                <c:pt idx="22">
                  <c:v>4895.5830000000069</c:v>
                </c:pt>
                <c:pt idx="23">
                  <c:v>4833.9060000000072</c:v>
                </c:pt>
                <c:pt idx="24">
                  <c:v>4772.2290000000075</c:v>
                </c:pt>
                <c:pt idx="25">
                  <c:v>4710.5520000000079</c:v>
                </c:pt>
                <c:pt idx="26">
                  <c:v>4689.9930000000077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60512"/>
        <c:axId val="179354624"/>
      </c:scatterChart>
      <c:valAx>
        <c:axId val="17935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353088"/>
        <c:crosses val="autoZero"/>
        <c:crossBetween val="midCat"/>
      </c:valAx>
      <c:valAx>
        <c:axId val="17935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351552"/>
        <c:crosses val="autoZero"/>
        <c:crossBetween val="midCat"/>
      </c:valAx>
      <c:valAx>
        <c:axId val="1793546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9360512"/>
        <c:crosses val="max"/>
        <c:crossBetween val="midCat"/>
      </c:valAx>
      <c:valAx>
        <c:axId val="179360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93546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'A20-22LEVO'!$G$2</c:f>
              <c:strCache>
                <c:ptCount val="1"/>
                <c:pt idx="0">
                  <c:v>有効トルク[Nm]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'A20-22LEVO'!$H$3:$H$49</c:f>
              <c:numCache>
                <c:formatCode>General</c:formatCode>
                <c:ptCount val="47"/>
                <c:pt idx="1">
                  <c:v>6190.8</c:v>
                </c:pt>
                <c:pt idx="2">
                  <c:v>6129.1230000000005</c:v>
                </c:pt>
                <c:pt idx="3">
                  <c:v>6067.4460000000008</c:v>
                </c:pt>
                <c:pt idx="4">
                  <c:v>6005.7690000000011</c:v>
                </c:pt>
                <c:pt idx="5">
                  <c:v>5944.0920000000015</c:v>
                </c:pt>
                <c:pt idx="6">
                  <c:v>5882.4150000000018</c:v>
                </c:pt>
                <c:pt idx="7">
                  <c:v>5820.7380000000021</c:v>
                </c:pt>
                <c:pt idx="8">
                  <c:v>5759.0610000000024</c:v>
                </c:pt>
                <c:pt idx="9">
                  <c:v>5697.3840000000027</c:v>
                </c:pt>
                <c:pt idx="10">
                  <c:v>5635.7070000000031</c:v>
                </c:pt>
                <c:pt idx="11">
                  <c:v>5574.0300000000034</c:v>
                </c:pt>
                <c:pt idx="12">
                  <c:v>5512.3530000000037</c:v>
                </c:pt>
                <c:pt idx="13">
                  <c:v>5450.676000000004</c:v>
                </c:pt>
                <c:pt idx="14">
                  <c:v>5388.9990000000043</c:v>
                </c:pt>
                <c:pt idx="15">
                  <c:v>5327.3220000000047</c:v>
                </c:pt>
                <c:pt idx="16">
                  <c:v>5265.645000000005</c:v>
                </c:pt>
                <c:pt idx="17">
                  <c:v>5203.9680000000053</c:v>
                </c:pt>
                <c:pt idx="18">
                  <c:v>5142.2910000000056</c:v>
                </c:pt>
                <c:pt idx="19">
                  <c:v>5080.6140000000059</c:v>
                </c:pt>
                <c:pt idx="20">
                  <c:v>5018.9370000000063</c:v>
                </c:pt>
                <c:pt idx="21">
                  <c:v>4957.2600000000066</c:v>
                </c:pt>
                <c:pt idx="22">
                  <c:v>4895.5830000000069</c:v>
                </c:pt>
                <c:pt idx="23">
                  <c:v>4833.9060000000072</c:v>
                </c:pt>
                <c:pt idx="24">
                  <c:v>4772.2290000000075</c:v>
                </c:pt>
                <c:pt idx="25">
                  <c:v>4710.5520000000079</c:v>
                </c:pt>
                <c:pt idx="26">
                  <c:v>4689.9930000000077</c:v>
                </c:pt>
              </c:numCache>
            </c:numRef>
          </c:xVal>
          <c:yVal>
            <c:numRef>
              <c:f>'A20-22LEVO'!$G$3:$G$49</c:f>
              <c:numCache>
                <c:formatCode>General</c:formatCode>
                <c:ptCount val="47"/>
                <c:pt idx="1">
                  <c:v>0</c:v>
                </c:pt>
                <c:pt idx="2">
                  <c:v>7.7510524233065925E-3</c:v>
                </c:pt>
                <c:pt idx="3">
                  <c:v>1.5502104846613185E-2</c:v>
                </c:pt>
                <c:pt idx="4">
                  <c:v>2.3253157269919777E-2</c:v>
                </c:pt>
                <c:pt idx="5">
                  <c:v>3.100420969322637E-2</c:v>
                </c:pt>
                <c:pt idx="6">
                  <c:v>3.8755262116532962E-2</c:v>
                </c:pt>
                <c:pt idx="7">
                  <c:v>4.6506314539839555E-2</c:v>
                </c:pt>
                <c:pt idx="8">
                  <c:v>5.4257366963146147E-2</c:v>
                </c:pt>
                <c:pt idx="9">
                  <c:v>6.200841938645274E-2</c:v>
                </c:pt>
                <c:pt idx="10">
                  <c:v>6.9759471809759332E-2</c:v>
                </c:pt>
                <c:pt idx="11">
                  <c:v>7.7510524233065925E-2</c:v>
                </c:pt>
                <c:pt idx="12">
                  <c:v>8.5261576656372517E-2</c:v>
                </c:pt>
                <c:pt idx="13">
                  <c:v>9.301262907967911E-2</c:v>
                </c:pt>
                <c:pt idx="14">
                  <c:v>0.1007636815029857</c:v>
                </c:pt>
                <c:pt idx="15">
                  <c:v>0.10851473392629229</c:v>
                </c:pt>
                <c:pt idx="16">
                  <c:v>0.11626578634959889</c:v>
                </c:pt>
                <c:pt idx="17">
                  <c:v>0.12401683877290548</c:v>
                </c:pt>
                <c:pt idx="18">
                  <c:v>0.13176789119621207</c:v>
                </c:pt>
                <c:pt idx="19">
                  <c:v>0.13951894361951866</c:v>
                </c:pt>
                <c:pt idx="20">
                  <c:v>0.14726999604282526</c:v>
                </c:pt>
                <c:pt idx="21">
                  <c:v>0.15502104846613185</c:v>
                </c:pt>
                <c:pt idx="22">
                  <c:v>0.16277210088943844</c:v>
                </c:pt>
                <c:pt idx="23">
                  <c:v>0.17052315331274503</c:v>
                </c:pt>
                <c:pt idx="24">
                  <c:v>0.17827420573605163</c:v>
                </c:pt>
                <c:pt idx="25">
                  <c:v>0.18602525815935822</c:v>
                </c:pt>
                <c:pt idx="26">
                  <c:v>0.18860894230046041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51776"/>
        <c:axId val="179453312"/>
      </c:scatterChart>
      <c:valAx>
        <c:axId val="17945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453312"/>
        <c:crosses val="autoZero"/>
        <c:crossBetween val="midCat"/>
      </c:valAx>
      <c:valAx>
        <c:axId val="179453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4517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'A20-30MEVO'!$G$2</c:f>
              <c:strCache>
                <c:ptCount val="1"/>
                <c:pt idx="0">
                  <c:v>有効トルク[Nm]</c:v>
                </c:pt>
              </c:strCache>
            </c:strRef>
          </c:tx>
          <c:marker>
            <c:symbol val="none"/>
          </c:marker>
          <c:xVal>
            <c:numRef>
              <c:f>'A20-30MEVO'!$F$3:$F$49</c:f>
              <c:numCache>
                <c:formatCode>General</c:formatCode>
                <c:ptCount val="47"/>
                <c:pt idx="1">
                  <c:v>0.6</c:v>
                </c:pt>
                <c:pt idx="2">
                  <c:v>1.2</c:v>
                </c:pt>
                <c:pt idx="3">
                  <c:v>1.7999999999999998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5.3999999999999995</c:v>
                </c:pt>
                <c:pt idx="10">
                  <c:v>5.9999999999999991</c:v>
                </c:pt>
                <c:pt idx="11">
                  <c:v>6.5999999999999988</c:v>
                </c:pt>
                <c:pt idx="12">
                  <c:v>7.1999999999999984</c:v>
                </c:pt>
                <c:pt idx="13">
                  <c:v>7.799999999999998</c:v>
                </c:pt>
                <c:pt idx="14">
                  <c:v>8.3999999999999986</c:v>
                </c:pt>
                <c:pt idx="15">
                  <c:v>8.9999999999999982</c:v>
                </c:pt>
                <c:pt idx="16">
                  <c:v>9.5999999999999979</c:v>
                </c:pt>
                <c:pt idx="17">
                  <c:v>10.199999999999998</c:v>
                </c:pt>
                <c:pt idx="18">
                  <c:v>10.799999999999997</c:v>
                </c:pt>
                <c:pt idx="19">
                  <c:v>11.399999999999997</c:v>
                </c:pt>
                <c:pt idx="20">
                  <c:v>11.999999999999996</c:v>
                </c:pt>
                <c:pt idx="21">
                  <c:v>12.599999999999996</c:v>
                </c:pt>
                <c:pt idx="22">
                  <c:v>13.199999999999996</c:v>
                </c:pt>
                <c:pt idx="23">
                  <c:v>13.799999999999995</c:v>
                </c:pt>
                <c:pt idx="24">
                  <c:v>14.399999999999995</c:v>
                </c:pt>
                <c:pt idx="25">
                  <c:v>15</c:v>
                </c:pt>
              </c:numCache>
            </c:numRef>
          </c:xVal>
          <c:yVal>
            <c:numRef>
              <c:f>'A20-30MEVO'!$K$3:$K$49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5.8465081135798291</c:v>
                </c:pt>
                <c:pt idx="3">
                  <c:v>11.693016227159656</c:v>
                </c:pt>
                <c:pt idx="4">
                  <c:v>17.539524340739487</c:v>
                </c:pt>
                <c:pt idx="5">
                  <c:v>23.386032454319317</c:v>
                </c:pt>
                <c:pt idx="6">
                  <c:v>29.232540567899143</c:v>
                </c:pt>
                <c:pt idx="7">
                  <c:v>35.07904868147898</c:v>
                </c:pt>
                <c:pt idx="8">
                  <c:v>40.925556795058803</c:v>
                </c:pt>
                <c:pt idx="9">
                  <c:v>46.772064908638626</c:v>
                </c:pt>
                <c:pt idx="10">
                  <c:v>52.618573022218449</c:v>
                </c:pt>
                <c:pt idx="11">
                  <c:v>58.465081135798279</c:v>
                </c:pt>
                <c:pt idx="12">
                  <c:v>64.311589249378102</c:v>
                </c:pt>
                <c:pt idx="13">
                  <c:v>70.158097362957932</c:v>
                </c:pt>
                <c:pt idx="14">
                  <c:v>76.004605476537762</c:v>
                </c:pt>
                <c:pt idx="15">
                  <c:v>81.851113590117578</c:v>
                </c:pt>
                <c:pt idx="16">
                  <c:v>87.697621703697408</c:v>
                </c:pt>
                <c:pt idx="17">
                  <c:v>93.544129817277238</c:v>
                </c:pt>
                <c:pt idx="18">
                  <c:v>99.390637930857068</c:v>
                </c:pt>
                <c:pt idx="19">
                  <c:v>105.23714604443688</c:v>
                </c:pt>
                <c:pt idx="20">
                  <c:v>111.08365415801671</c:v>
                </c:pt>
                <c:pt idx="21">
                  <c:v>116.93016227159654</c:v>
                </c:pt>
                <c:pt idx="22">
                  <c:v>122.77667038517636</c:v>
                </c:pt>
                <c:pt idx="23">
                  <c:v>128.62317849875618</c:v>
                </c:pt>
                <c:pt idx="24">
                  <c:v>134.46968661233601</c:v>
                </c:pt>
                <c:pt idx="25">
                  <c:v>140.31619472591589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'A20-30MEVO'!$J$2</c:f>
              <c:strCache>
                <c:ptCount val="1"/>
                <c:pt idx="0">
                  <c:v>効率[%]</c:v>
                </c:pt>
              </c:strCache>
            </c:strRef>
          </c:tx>
          <c:marker>
            <c:symbol val="none"/>
          </c:marker>
          <c:xVal>
            <c:numRef>
              <c:f>'A20-30MEVO'!$F$3:$F$49</c:f>
              <c:numCache>
                <c:formatCode>General</c:formatCode>
                <c:ptCount val="47"/>
                <c:pt idx="1">
                  <c:v>0.6</c:v>
                </c:pt>
                <c:pt idx="2">
                  <c:v>1.2</c:v>
                </c:pt>
                <c:pt idx="3">
                  <c:v>1.7999999999999998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5.3999999999999995</c:v>
                </c:pt>
                <c:pt idx="10">
                  <c:v>5.9999999999999991</c:v>
                </c:pt>
                <c:pt idx="11">
                  <c:v>6.5999999999999988</c:v>
                </c:pt>
                <c:pt idx="12">
                  <c:v>7.1999999999999984</c:v>
                </c:pt>
                <c:pt idx="13">
                  <c:v>7.799999999999998</c:v>
                </c:pt>
                <c:pt idx="14">
                  <c:v>8.3999999999999986</c:v>
                </c:pt>
                <c:pt idx="15">
                  <c:v>8.9999999999999982</c:v>
                </c:pt>
                <c:pt idx="16">
                  <c:v>9.5999999999999979</c:v>
                </c:pt>
                <c:pt idx="17">
                  <c:v>10.199999999999998</c:v>
                </c:pt>
                <c:pt idx="18">
                  <c:v>10.799999999999997</c:v>
                </c:pt>
                <c:pt idx="19">
                  <c:v>11.399999999999997</c:v>
                </c:pt>
                <c:pt idx="20">
                  <c:v>11.999999999999996</c:v>
                </c:pt>
                <c:pt idx="21">
                  <c:v>12.599999999999996</c:v>
                </c:pt>
                <c:pt idx="22">
                  <c:v>13.199999999999996</c:v>
                </c:pt>
                <c:pt idx="23">
                  <c:v>13.799999999999995</c:v>
                </c:pt>
                <c:pt idx="24">
                  <c:v>14.399999999999995</c:v>
                </c:pt>
                <c:pt idx="25">
                  <c:v>15</c:v>
                </c:pt>
              </c:numCache>
            </c:numRef>
          </c:xVal>
          <c:yVal>
            <c:numRef>
              <c:f>'A20-30MEVO'!$J$3:$J$49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49.220895522388062</c:v>
                </c:pt>
                <c:pt idx="3">
                  <c:v>64.589054726368161</c:v>
                </c:pt>
                <c:pt idx="4">
                  <c:v>71.494029850746273</c:v>
                </c:pt>
                <c:pt idx="5">
                  <c:v>75.013731343283567</c:v>
                </c:pt>
                <c:pt idx="6">
                  <c:v>76.840796019900495</c:v>
                </c:pt>
                <c:pt idx="7">
                  <c:v>77.70063965884863</c:v>
                </c:pt>
                <c:pt idx="8">
                  <c:v>77.955970149253758</c:v>
                </c:pt>
                <c:pt idx="9">
                  <c:v>77.808291873963498</c:v>
                </c:pt>
                <c:pt idx="10">
                  <c:v>77.378507462686571</c:v>
                </c:pt>
                <c:pt idx="11">
                  <c:v>76.743554952510195</c:v>
                </c:pt>
                <c:pt idx="12">
                  <c:v>75.954726368159214</c:v>
                </c:pt>
                <c:pt idx="13">
                  <c:v>75.047531572904731</c:v>
                </c:pt>
                <c:pt idx="14">
                  <c:v>74.047334754797447</c:v>
                </c:pt>
                <c:pt idx="15">
                  <c:v>72.972736318407968</c:v>
                </c:pt>
                <c:pt idx="16">
                  <c:v>71.837686567164184</c:v>
                </c:pt>
                <c:pt idx="17">
                  <c:v>70.652853380158049</c:v>
                </c:pt>
                <c:pt idx="18">
                  <c:v>69.426533996683276</c:v>
                </c:pt>
                <c:pt idx="19">
                  <c:v>68.165278868813857</c:v>
                </c:pt>
                <c:pt idx="20">
                  <c:v>66.874328358208984</c:v>
                </c:pt>
                <c:pt idx="21">
                  <c:v>65.5579246624023</c:v>
                </c:pt>
                <c:pt idx="22">
                  <c:v>64.219538670284962</c:v>
                </c:pt>
                <c:pt idx="23">
                  <c:v>62.862037637897494</c:v>
                </c:pt>
                <c:pt idx="24">
                  <c:v>61.487810945273644</c:v>
                </c:pt>
                <c:pt idx="25">
                  <c:v>60.098865671641811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04416"/>
        <c:axId val="210605952"/>
      </c:scatterChart>
      <c:scatterChart>
        <c:scatterStyle val="smoothMarker"/>
        <c:varyColors val="0"/>
        <c:ser>
          <c:idx val="1"/>
          <c:order val="1"/>
          <c:tx>
            <c:strRef>
              <c:f>'A20-30MEVO'!$H$2</c:f>
              <c:strCache>
                <c:ptCount val="1"/>
                <c:pt idx="0">
                  <c:v>回転数[rpm]</c:v>
                </c:pt>
              </c:strCache>
            </c:strRef>
          </c:tx>
          <c:marker>
            <c:symbol val="none"/>
          </c:marker>
          <c:xVal>
            <c:numRef>
              <c:f>'A20-30MEVO'!$F$3:$F$49</c:f>
              <c:numCache>
                <c:formatCode>General</c:formatCode>
                <c:ptCount val="47"/>
                <c:pt idx="1">
                  <c:v>0.6</c:v>
                </c:pt>
                <c:pt idx="2">
                  <c:v>1.2</c:v>
                </c:pt>
                <c:pt idx="3">
                  <c:v>1.7999999999999998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5.3999999999999995</c:v>
                </c:pt>
                <c:pt idx="10">
                  <c:v>5.9999999999999991</c:v>
                </c:pt>
                <c:pt idx="11">
                  <c:v>6.5999999999999988</c:v>
                </c:pt>
                <c:pt idx="12">
                  <c:v>7.1999999999999984</c:v>
                </c:pt>
                <c:pt idx="13">
                  <c:v>7.799999999999998</c:v>
                </c:pt>
                <c:pt idx="14">
                  <c:v>8.3999999999999986</c:v>
                </c:pt>
                <c:pt idx="15">
                  <c:v>8.9999999999999982</c:v>
                </c:pt>
                <c:pt idx="16">
                  <c:v>9.5999999999999979</c:v>
                </c:pt>
                <c:pt idx="17">
                  <c:v>10.199999999999998</c:v>
                </c:pt>
                <c:pt idx="18">
                  <c:v>10.799999999999997</c:v>
                </c:pt>
                <c:pt idx="19">
                  <c:v>11.399999999999997</c:v>
                </c:pt>
                <c:pt idx="20">
                  <c:v>11.999999999999996</c:v>
                </c:pt>
                <c:pt idx="21">
                  <c:v>12.599999999999996</c:v>
                </c:pt>
                <c:pt idx="22">
                  <c:v>13.199999999999996</c:v>
                </c:pt>
                <c:pt idx="23">
                  <c:v>13.799999999999995</c:v>
                </c:pt>
                <c:pt idx="24">
                  <c:v>14.399999999999995</c:v>
                </c:pt>
                <c:pt idx="25">
                  <c:v>15</c:v>
                </c:pt>
              </c:numCache>
            </c:numRef>
          </c:xVal>
          <c:yVal>
            <c:numRef>
              <c:f>'A20-30MEVO'!$H$3:$H$49</c:f>
              <c:numCache>
                <c:formatCode>General</c:formatCode>
                <c:ptCount val="47"/>
                <c:pt idx="1">
                  <c:v>6566</c:v>
                </c:pt>
                <c:pt idx="2">
                  <c:v>6463.6880000000001</c:v>
                </c:pt>
                <c:pt idx="3">
                  <c:v>6361.3760000000002</c:v>
                </c:pt>
                <c:pt idx="4">
                  <c:v>6259.0640000000003</c:v>
                </c:pt>
                <c:pt idx="5">
                  <c:v>6156.7520000000004</c:v>
                </c:pt>
                <c:pt idx="6">
                  <c:v>6054.4400000000005</c:v>
                </c:pt>
                <c:pt idx="7">
                  <c:v>5952.1280000000006</c:v>
                </c:pt>
                <c:pt idx="8">
                  <c:v>5849.8160000000007</c:v>
                </c:pt>
                <c:pt idx="9">
                  <c:v>5747.5040000000008</c:v>
                </c:pt>
                <c:pt idx="10">
                  <c:v>5645.1920000000009</c:v>
                </c:pt>
                <c:pt idx="11">
                  <c:v>5542.880000000001</c:v>
                </c:pt>
                <c:pt idx="12">
                  <c:v>5440.5680000000011</c:v>
                </c:pt>
                <c:pt idx="13">
                  <c:v>5338.2560000000012</c:v>
                </c:pt>
                <c:pt idx="14">
                  <c:v>5235.9440000000013</c:v>
                </c:pt>
                <c:pt idx="15">
                  <c:v>5133.6320000000014</c:v>
                </c:pt>
                <c:pt idx="16">
                  <c:v>5031.3200000000015</c:v>
                </c:pt>
                <c:pt idx="17">
                  <c:v>4929.0080000000016</c:v>
                </c:pt>
                <c:pt idx="18">
                  <c:v>4826.6960000000017</c:v>
                </c:pt>
                <c:pt idx="19">
                  <c:v>4724.3840000000018</c:v>
                </c:pt>
                <c:pt idx="20">
                  <c:v>4622.0720000000019</c:v>
                </c:pt>
                <c:pt idx="21">
                  <c:v>4519.760000000002</c:v>
                </c:pt>
                <c:pt idx="22">
                  <c:v>4417.4480000000021</c:v>
                </c:pt>
                <c:pt idx="23">
                  <c:v>4315.1360000000022</c:v>
                </c:pt>
                <c:pt idx="24">
                  <c:v>4212.8240000000023</c:v>
                </c:pt>
                <c:pt idx="25">
                  <c:v>4110.5120000000015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13376"/>
        <c:axId val="210607488"/>
      </c:scatterChart>
      <c:valAx>
        <c:axId val="21060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0605952"/>
        <c:crosses val="autoZero"/>
        <c:crossBetween val="midCat"/>
      </c:valAx>
      <c:valAx>
        <c:axId val="210605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604416"/>
        <c:crosses val="autoZero"/>
        <c:crossBetween val="midCat"/>
      </c:valAx>
      <c:valAx>
        <c:axId val="210607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10613376"/>
        <c:crosses val="max"/>
        <c:crossBetween val="midCat"/>
      </c:valAx>
      <c:valAx>
        <c:axId val="210613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10607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'A20-30MEVO'!$G$2</c:f>
              <c:strCache>
                <c:ptCount val="1"/>
                <c:pt idx="0">
                  <c:v>有効トルク[Nm]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'A20-30MEVO'!$H$3:$H$49</c:f>
              <c:numCache>
                <c:formatCode>General</c:formatCode>
                <c:ptCount val="47"/>
                <c:pt idx="1">
                  <c:v>6566</c:v>
                </c:pt>
                <c:pt idx="2">
                  <c:v>6463.6880000000001</c:v>
                </c:pt>
                <c:pt idx="3">
                  <c:v>6361.3760000000002</c:v>
                </c:pt>
                <c:pt idx="4">
                  <c:v>6259.0640000000003</c:v>
                </c:pt>
                <c:pt idx="5">
                  <c:v>6156.7520000000004</c:v>
                </c:pt>
                <c:pt idx="6">
                  <c:v>6054.4400000000005</c:v>
                </c:pt>
                <c:pt idx="7">
                  <c:v>5952.1280000000006</c:v>
                </c:pt>
                <c:pt idx="8">
                  <c:v>5849.8160000000007</c:v>
                </c:pt>
                <c:pt idx="9">
                  <c:v>5747.5040000000008</c:v>
                </c:pt>
                <c:pt idx="10">
                  <c:v>5645.1920000000009</c:v>
                </c:pt>
                <c:pt idx="11">
                  <c:v>5542.880000000001</c:v>
                </c:pt>
                <c:pt idx="12">
                  <c:v>5440.5680000000011</c:v>
                </c:pt>
                <c:pt idx="13">
                  <c:v>5338.2560000000012</c:v>
                </c:pt>
                <c:pt idx="14">
                  <c:v>5235.9440000000013</c:v>
                </c:pt>
                <c:pt idx="15">
                  <c:v>5133.6320000000014</c:v>
                </c:pt>
                <c:pt idx="16">
                  <c:v>5031.3200000000015</c:v>
                </c:pt>
                <c:pt idx="17">
                  <c:v>4929.0080000000016</c:v>
                </c:pt>
                <c:pt idx="18">
                  <c:v>4826.6960000000017</c:v>
                </c:pt>
                <c:pt idx="19">
                  <c:v>4724.3840000000018</c:v>
                </c:pt>
                <c:pt idx="20">
                  <c:v>4622.0720000000019</c:v>
                </c:pt>
                <c:pt idx="21">
                  <c:v>4519.760000000002</c:v>
                </c:pt>
                <c:pt idx="22">
                  <c:v>4417.4480000000021</c:v>
                </c:pt>
                <c:pt idx="23">
                  <c:v>4315.1360000000022</c:v>
                </c:pt>
                <c:pt idx="24">
                  <c:v>4212.8240000000023</c:v>
                </c:pt>
                <c:pt idx="25">
                  <c:v>4110.5120000000015</c:v>
                </c:pt>
              </c:numCache>
            </c:numRef>
          </c:xVal>
          <c:yVal>
            <c:numRef>
              <c:f>'A20-30MEVO'!$G$3:$G$49</c:f>
              <c:numCache>
                <c:formatCode>General</c:formatCode>
                <c:ptCount val="47"/>
                <c:pt idx="1">
                  <c:v>0</c:v>
                </c:pt>
                <c:pt idx="2">
                  <c:v>5.846508113579829E-3</c:v>
                </c:pt>
                <c:pt idx="3">
                  <c:v>1.1693016227159656E-2</c:v>
                </c:pt>
                <c:pt idx="4">
                  <c:v>1.7539524340739486E-2</c:v>
                </c:pt>
                <c:pt idx="5">
                  <c:v>2.3386032454319316E-2</c:v>
                </c:pt>
                <c:pt idx="6">
                  <c:v>2.9232540567899142E-2</c:v>
                </c:pt>
                <c:pt idx="7">
                  <c:v>3.5079048681478979E-2</c:v>
                </c:pt>
                <c:pt idx="8">
                  <c:v>4.0925556795058805E-2</c:v>
                </c:pt>
                <c:pt idx="9">
                  <c:v>4.6772064908638625E-2</c:v>
                </c:pt>
                <c:pt idx="10">
                  <c:v>5.2618573022218451E-2</c:v>
                </c:pt>
                <c:pt idx="11">
                  <c:v>5.8465081135798277E-2</c:v>
                </c:pt>
                <c:pt idx="12">
                  <c:v>6.4311589249378104E-2</c:v>
                </c:pt>
                <c:pt idx="13">
                  <c:v>7.015809736295793E-2</c:v>
                </c:pt>
                <c:pt idx="14">
                  <c:v>7.6004605476537757E-2</c:v>
                </c:pt>
                <c:pt idx="15">
                  <c:v>8.1851113590117583E-2</c:v>
                </c:pt>
                <c:pt idx="16">
                  <c:v>8.7697621703697409E-2</c:v>
                </c:pt>
                <c:pt idx="17">
                  <c:v>9.3544129817277236E-2</c:v>
                </c:pt>
                <c:pt idx="18">
                  <c:v>9.9390637930857062E-2</c:v>
                </c:pt>
                <c:pt idx="19">
                  <c:v>0.10523714604443689</c:v>
                </c:pt>
                <c:pt idx="20">
                  <c:v>0.11108365415801671</c:v>
                </c:pt>
                <c:pt idx="21">
                  <c:v>0.11693016227159654</c:v>
                </c:pt>
                <c:pt idx="22">
                  <c:v>0.12277667038517635</c:v>
                </c:pt>
                <c:pt idx="23">
                  <c:v>0.12862317849875618</c:v>
                </c:pt>
                <c:pt idx="24">
                  <c:v>0.13446968661233599</c:v>
                </c:pt>
                <c:pt idx="25">
                  <c:v>0.14031619472591589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04256"/>
        <c:axId val="210705792"/>
      </c:scatterChart>
      <c:valAx>
        <c:axId val="21070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0705792"/>
        <c:crosses val="autoZero"/>
        <c:crossBetween val="midCat"/>
      </c:valAx>
      <c:valAx>
        <c:axId val="21070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7042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'ZS2213-22'!$G$2</c:f>
              <c:strCache>
                <c:ptCount val="1"/>
                <c:pt idx="0">
                  <c:v>有効トルク[Nm]</c:v>
                </c:pt>
              </c:strCache>
            </c:strRef>
          </c:tx>
          <c:marker>
            <c:symbol val="none"/>
          </c:marker>
          <c:xVal>
            <c:numRef>
              <c:f>'ZS2213-22'!$F$3:$F$49</c:f>
              <c:numCache>
                <c:formatCode>General</c:formatCode>
                <c:ptCount val="47"/>
                <c:pt idx="1">
                  <c:v>0.46</c:v>
                </c:pt>
                <c:pt idx="2">
                  <c:v>0.92</c:v>
                </c:pt>
                <c:pt idx="3">
                  <c:v>1.3800000000000001</c:v>
                </c:pt>
                <c:pt idx="4">
                  <c:v>1.84</c:v>
                </c:pt>
                <c:pt idx="5">
                  <c:v>2.3000000000000003</c:v>
                </c:pt>
                <c:pt idx="6">
                  <c:v>2.7600000000000002</c:v>
                </c:pt>
                <c:pt idx="7">
                  <c:v>3.22</c:v>
                </c:pt>
                <c:pt idx="8">
                  <c:v>3.68</c:v>
                </c:pt>
                <c:pt idx="9">
                  <c:v>4.1400000000000006</c:v>
                </c:pt>
                <c:pt idx="10">
                  <c:v>4.6000000000000005</c:v>
                </c:pt>
                <c:pt idx="11">
                  <c:v>5.0600000000000005</c:v>
                </c:pt>
                <c:pt idx="12">
                  <c:v>5.5200000000000005</c:v>
                </c:pt>
                <c:pt idx="13">
                  <c:v>5.98</c:v>
                </c:pt>
                <c:pt idx="14">
                  <c:v>6.44</c:v>
                </c:pt>
                <c:pt idx="15">
                  <c:v>6.9</c:v>
                </c:pt>
                <c:pt idx="16">
                  <c:v>7.36</c:v>
                </c:pt>
                <c:pt idx="17">
                  <c:v>7.82</c:v>
                </c:pt>
                <c:pt idx="18">
                  <c:v>8.2800000000000011</c:v>
                </c:pt>
                <c:pt idx="19">
                  <c:v>8.740000000000002</c:v>
                </c:pt>
                <c:pt idx="20">
                  <c:v>9.2000000000000028</c:v>
                </c:pt>
                <c:pt idx="21">
                  <c:v>9.6600000000000037</c:v>
                </c:pt>
                <c:pt idx="22">
                  <c:v>10.120000000000005</c:v>
                </c:pt>
                <c:pt idx="23">
                  <c:v>10.580000000000005</c:v>
                </c:pt>
                <c:pt idx="24">
                  <c:v>11.040000000000006</c:v>
                </c:pt>
                <c:pt idx="25">
                  <c:v>11.500000000000007</c:v>
                </c:pt>
                <c:pt idx="26">
                  <c:v>11.960000000000008</c:v>
                </c:pt>
                <c:pt idx="27">
                  <c:v>12.420000000000009</c:v>
                </c:pt>
                <c:pt idx="28">
                  <c:v>12.88000000000001</c:v>
                </c:pt>
                <c:pt idx="29">
                  <c:v>13.340000000000011</c:v>
                </c:pt>
                <c:pt idx="30">
                  <c:v>13.800000000000011</c:v>
                </c:pt>
                <c:pt idx="31">
                  <c:v>14.260000000000012</c:v>
                </c:pt>
                <c:pt idx="32">
                  <c:v>14.720000000000013</c:v>
                </c:pt>
                <c:pt idx="33">
                  <c:v>15.180000000000014</c:v>
                </c:pt>
                <c:pt idx="34">
                  <c:v>15.640000000000015</c:v>
                </c:pt>
                <c:pt idx="35">
                  <c:v>16.100000000000016</c:v>
                </c:pt>
                <c:pt idx="36">
                  <c:v>16.560000000000016</c:v>
                </c:pt>
                <c:pt idx="37">
                  <c:v>17.020000000000017</c:v>
                </c:pt>
                <c:pt idx="38">
                  <c:v>17.480000000000018</c:v>
                </c:pt>
                <c:pt idx="39">
                  <c:v>17.940000000000019</c:v>
                </c:pt>
                <c:pt idx="40">
                  <c:v>18.40000000000002</c:v>
                </c:pt>
                <c:pt idx="41">
                  <c:v>18.860000000000021</c:v>
                </c:pt>
                <c:pt idx="42">
                  <c:v>19.320000000000022</c:v>
                </c:pt>
                <c:pt idx="43">
                  <c:v>19.780000000000022</c:v>
                </c:pt>
                <c:pt idx="44">
                  <c:v>20.240000000000023</c:v>
                </c:pt>
                <c:pt idx="45">
                  <c:v>20.700000000000024</c:v>
                </c:pt>
                <c:pt idx="46">
                  <c:v>21</c:v>
                </c:pt>
              </c:numCache>
            </c:numRef>
          </c:xVal>
          <c:yVal>
            <c:numRef>
              <c:f>'ZS2213-22'!$K$3:$K$49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5.0959123310166028</c:v>
                </c:pt>
                <c:pt idx="3">
                  <c:v>10.191824662033207</c:v>
                </c:pt>
                <c:pt idx="4">
                  <c:v>15.287736993049808</c:v>
                </c:pt>
                <c:pt idx="5">
                  <c:v>20.383649324066411</c:v>
                </c:pt>
                <c:pt idx="6">
                  <c:v>25.479561655083018</c:v>
                </c:pt>
                <c:pt idx="7">
                  <c:v>30.575473986099617</c:v>
                </c:pt>
                <c:pt idx="8">
                  <c:v>35.671386317116223</c:v>
                </c:pt>
                <c:pt idx="9">
                  <c:v>40.767298648132829</c:v>
                </c:pt>
                <c:pt idx="10">
                  <c:v>45.863210979149429</c:v>
                </c:pt>
                <c:pt idx="11">
                  <c:v>50.959123310166035</c:v>
                </c:pt>
                <c:pt idx="12">
                  <c:v>56.055035641182641</c:v>
                </c:pt>
                <c:pt idx="13">
                  <c:v>61.150947972199241</c:v>
                </c:pt>
                <c:pt idx="14">
                  <c:v>66.24686030321584</c:v>
                </c:pt>
                <c:pt idx="15">
                  <c:v>71.34277263423246</c:v>
                </c:pt>
                <c:pt idx="16">
                  <c:v>76.438684965249053</c:v>
                </c:pt>
                <c:pt idx="17">
                  <c:v>81.534597296265645</c:v>
                </c:pt>
                <c:pt idx="18">
                  <c:v>86.630509627282279</c:v>
                </c:pt>
                <c:pt idx="19">
                  <c:v>91.726421958298886</c:v>
                </c:pt>
                <c:pt idx="20">
                  <c:v>96.822334289315492</c:v>
                </c:pt>
                <c:pt idx="21">
                  <c:v>101.91824662033211</c:v>
                </c:pt>
                <c:pt idx="22">
                  <c:v>107.01415895134872</c:v>
                </c:pt>
                <c:pt idx="23">
                  <c:v>112.11007128236533</c:v>
                </c:pt>
                <c:pt idx="24">
                  <c:v>117.20598361338195</c:v>
                </c:pt>
                <c:pt idx="25">
                  <c:v>122.30189594439857</c:v>
                </c:pt>
                <c:pt idx="26">
                  <c:v>127.39780827541516</c:v>
                </c:pt>
                <c:pt idx="27">
                  <c:v>132.49372060643176</c:v>
                </c:pt>
                <c:pt idx="28">
                  <c:v>137.58963293744839</c:v>
                </c:pt>
                <c:pt idx="29">
                  <c:v>142.68554526846501</c:v>
                </c:pt>
                <c:pt idx="30">
                  <c:v>147.7814575994816</c:v>
                </c:pt>
                <c:pt idx="31">
                  <c:v>152.87736993049822</c:v>
                </c:pt>
                <c:pt idx="32">
                  <c:v>157.97328226151484</c:v>
                </c:pt>
                <c:pt idx="33">
                  <c:v>163.06919459253143</c:v>
                </c:pt>
                <c:pt idx="34">
                  <c:v>168.16510692354805</c:v>
                </c:pt>
                <c:pt idx="35">
                  <c:v>173.26101925456467</c:v>
                </c:pt>
                <c:pt idx="36">
                  <c:v>178.35693158558126</c:v>
                </c:pt>
                <c:pt idx="37">
                  <c:v>183.45284391659789</c:v>
                </c:pt>
                <c:pt idx="38">
                  <c:v>188.54875624761451</c:v>
                </c:pt>
                <c:pt idx="39">
                  <c:v>193.6446685786311</c:v>
                </c:pt>
                <c:pt idx="40">
                  <c:v>198.74058090964772</c:v>
                </c:pt>
                <c:pt idx="41">
                  <c:v>203.83649324066434</c:v>
                </c:pt>
                <c:pt idx="42">
                  <c:v>208.93240557168096</c:v>
                </c:pt>
                <c:pt idx="43">
                  <c:v>214.02831790269758</c:v>
                </c:pt>
                <c:pt idx="44">
                  <c:v>219.1242302337142</c:v>
                </c:pt>
                <c:pt idx="45">
                  <c:v>224.22014256473079</c:v>
                </c:pt>
                <c:pt idx="46">
                  <c:v>227.54356365017614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'ZS2213-22'!$J$2</c:f>
              <c:strCache>
                <c:ptCount val="1"/>
                <c:pt idx="0">
                  <c:v>効率[%]</c:v>
                </c:pt>
              </c:strCache>
            </c:strRef>
          </c:tx>
          <c:marker>
            <c:symbol val="none"/>
          </c:marker>
          <c:xVal>
            <c:numRef>
              <c:f>'ZS2213-22'!$F$3:$F$49</c:f>
              <c:numCache>
                <c:formatCode>General</c:formatCode>
                <c:ptCount val="47"/>
                <c:pt idx="1">
                  <c:v>0.46</c:v>
                </c:pt>
                <c:pt idx="2">
                  <c:v>0.92</c:v>
                </c:pt>
                <c:pt idx="3">
                  <c:v>1.3800000000000001</c:v>
                </c:pt>
                <c:pt idx="4">
                  <c:v>1.84</c:v>
                </c:pt>
                <c:pt idx="5">
                  <c:v>2.3000000000000003</c:v>
                </c:pt>
                <c:pt idx="6">
                  <c:v>2.7600000000000002</c:v>
                </c:pt>
                <c:pt idx="7">
                  <c:v>3.22</c:v>
                </c:pt>
                <c:pt idx="8">
                  <c:v>3.68</c:v>
                </c:pt>
                <c:pt idx="9">
                  <c:v>4.1400000000000006</c:v>
                </c:pt>
                <c:pt idx="10">
                  <c:v>4.6000000000000005</c:v>
                </c:pt>
                <c:pt idx="11">
                  <c:v>5.0600000000000005</c:v>
                </c:pt>
                <c:pt idx="12">
                  <c:v>5.5200000000000005</c:v>
                </c:pt>
                <c:pt idx="13">
                  <c:v>5.98</c:v>
                </c:pt>
                <c:pt idx="14">
                  <c:v>6.44</c:v>
                </c:pt>
                <c:pt idx="15">
                  <c:v>6.9</c:v>
                </c:pt>
                <c:pt idx="16">
                  <c:v>7.36</c:v>
                </c:pt>
                <c:pt idx="17">
                  <c:v>7.82</c:v>
                </c:pt>
                <c:pt idx="18">
                  <c:v>8.2800000000000011</c:v>
                </c:pt>
                <c:pt idx="19">
                  <c:v>8.740000000000002</c:v>
                </c:pt>
                <c:pt idx="20">
                  <c:v>9.2000000000000028</c:v>
                </c:pt>
                <c:pt idx="21">
                  <c:v>9.6600000000000037</c:v>
                </c:pt>
                <c:pt idx="22">
                  <c:v>10.120000000000005</c:v>
                </c:pt>
                <c:pt idx="23">
                  <c:v>10.580000000000005</c:v>
                </c:pt>
                <c:pt idx="24">
                  <c:v>11.040000000000006</c:v>
                </c:pt>
                <c:pt idx="25">
                  <c:v>11.500000000000007</c:v>
                </c:pt>
                <c:pt idx="26">
                  <c:v>11.960000000000008</c:v>
                </c:pt>
                <c:pt idx="27">
                  <c:v>12.420000000000009</c:v>
                </c:pt>
                <c:pt idx="28">
                  <c:v>12.88000000000001</c:v>
                </c:pt>
                <c:pt idx="29">
                  <c:v>13.340000000000011</c:v>
                </c:pt>
                <c:pt idx="30">
                  <c:v>13.800000000000011</c:v>
                </c:pt>
                <c:pt idx="31">
                  <c:v>14.260000000000012</c:v>
                </c:pt>
                <c:pt idx="32">
                  <c:v>14.720000000000013</c:v>
                </c:pt>
                <c:pt idx="33">
                  <c:v>15.180000000000014</c:v>
                </c:pt>
                <c:pt idx="34">
                  <c:v>15.640000000000015</c:v>
                </c:pt>
                <c:pt idx="35">
                  <c:v>16.100000000000016</c:v>
                </c:pt>
                <c:pt idx="36">
                  <c:v>16.560000000000016</c:v>
                </c:pt>
                <c:pt idx="37">
                  <c:v>17.020000000000017</c:v>
                </c:pt>
                <c:pt idx="38">
                  <c:v>17.480000000000018</c:v>
                </c:pt>
                <c:pt idx="39">
                  <c:v>17.940000000000019</c:v>
                </c:pt>
                <c:pt idx="40">
                  <c:v>18.40000000000002</c:v>
                </c:pt>
                <c:pt idx="41">
                  <c:v>18.860000000000021</c:v>
                </c:pt>
                <c:pt idx="42">
                  <c:v>19.320000000000022</c:v>
                </c:pt>
                <c:pt idx="43">
                  <c:v>19.780000000000022</c:v>
                </c:pt>
                <c:pt idx="44">
                  <c:v>20.240000000000023</c:v>
                </c:pt>
                <c:pt idx="45">
                  <c:v>20.700000000000024</c:v>
                </c:pt>
                <c:pt idx="46">
                  <c:v>21</c:v>
                </c:pt>
              </c:numCache>
            </c:numRef>
          </c:xVal>
          <c:yVal>
            <c:numRef>
              <c:f>'ZS2213-22'!$J$3:$J$49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49.601791044776114</c:v>
                </c:pt>
                <c:pt idx="3">
                  <c:v>65.604776119403013</c:v>
                </c:pt>
                <c:pt idx="4">
                  <c:v>73.208059701492516</c:v>
                </c:pt>
                <c:pt idx="5">
                  <c:v>77.451462686567169</c:v>
                </c:pt>
                <c:pt idx="6">
                  <c:v>80.014925373134332</c:v>
                </c:pt>
                <c:pt idx="7">
                  <c:v>81.618422174840077</c:v>
                </c:pt>
                <c:pt idx="8">
                  <c:v>82.62194029850744</c:v>
                </c:pt>
                <c:pt idx="9">
                  <c:v>83.225472636815937</c:v>
                </c:pt>
                <c:pt idx="10">
                  <c:v>83.549014925373115</c:v>
                </c:pt>
                <c:pt idx="11">
                  <c:v>83.668928086838534</c:v>
                </c:pt>
                <c:pt idx="12">
                  <c:v>83.636119402985059</c:v>
                </c:pt>
                <c:pt idx="13">
                  <c:v>83.485832376578614</c:v>
                </c:pt>
                <c:pt idx="14">
                  <c:v>83.243240938166295</c:v>
                </c:pt>
                <c:pt idx="15">
                  <c:v>82.926805970149232</c:v>
                </c:pt>
                <c:pt idx="16">
                  <c:v>82.550373134328339</c:v>
                </c:pt>
                <c:pt idx="17">
                  <c:v>82.124530289727787</c:v>
                </c:pt>
                <c:pt idx="18">
                  <c:v>81.657512437810936</c:v>
                </c:pt>
                <c:pt idx="19">
                  <c:v>81.155820895522339</c:v>
                </c:pt>
                <c:pt idx="20">
                  <c:v>80.624656716417874</c:v>
                </c:pt>
                <c:pt idx="21">
                  <c:v>80.068230277185464</c:v>
                </c:pt>
                <c:pt idx="22">
                  <c:v>79.489986431478926</c:v>
                </c:pt>
                <c:pt idx="23">
                  <c:v>78.892770927968797</c:v>
                </c:pt>
                <c:pt idx="24">
                  <c:v>78.278955223880544</c:v>
                </c:pt>
                <c:pt idx="25">
                  <c:v>77.650531343283518</c:v>
                </c:pt>
                <c:pt idx="26">
                  <c:v>77.009184845005663</c:v>
                </c:pt>
                <c:pt idx="27">
                  <c:v>76.356351575455989</c:v>
                </c:pt>
                <c:pt idx="28">
                  <c:v>75.693262260127867</c:v>
                </c:pt>
                <c:pt idx="29">
                  <c:v>75.020977869274247</c:v>
                </c:pt>
                <c:pt idx="30">
                  <c:v>74.34041791044767</c:v>
                </c:pt>
                <c:pt idx="31">
                  <c:v>73.652383245064911</c:v>
                </c:pt>
                <c:pt idx="32">
                  <c:v>72.957574626865579</c:v>
                </c:pt>
                <c:pt idx="33">
                  <c:v>72.256607869742112</c:v>
                </c:pt>
                <c:pt idx="34">
                  <c:v>71.550026338893673</c:v>
                </c:pt>
                <c:pt idx="35">
                  <c:v>70.83831130063956</c:v>
                </c:pt>
                <c:pt idx="36">
                  <c:v>70.121890547263575</c:v>
                </c:pt>
                <c:pt idx="37">
                  <c:v>69.401145623235053</c:v>
                </c:pt>
                <c:pt idx="38">
                  <c:v>68.67641791044764</c:v>
                </c:pt>
                <c:pt idx="39">
                  <c:v>67.948013777267391</c:v>
                </c:pt>
                <c:pt idx="40">
                  <c:v>67.216208955223749</c:v>
                </c:pt>
                <c:pt idx="41">
                  <c:v>66.481252275209187</c:v>
                </c:pt>
                <c:pt idx="42">
                  <c:v>65.743368869935907</c:v>
                </c:pt>
                <c:pt idx="43">
                  <c:v>65.002762929538221</c:v>
                </c:pt>
                <c:pt idx="44">
                  <c:v>64.259620081411001</c:v>
                </c:pt>
                <c:pt idx="45">
                  <c:v>63.514109452736179</c:v>
                </c:pt>
                <c:pt idx="46">
                  <c:v>63.026705330490309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533504"/>
        <c:axId val="220535040"/>
      </c:scatterChart>
      <c:scatterChart>
        <c:scatterStyle val="smoothMarker"/>
        <c:varyColors val="0"/>
        <c:ser>
          <c:idx val="1"/>
          <c:order val="1"/>
          <c:tx>
            <c:strRef>
              <c:f>'ZS2213-22'!$H$2</c:f>
              <c:strCache>
                <c:ptCount val="1"/>
                <c:pt idx="0">
                  <c:v>回転数[rpm]</c:v>
                </c:pt>
              </c:strCache>
            </c:strRef>
          </c:tx>
          <c:marker>
            <c:symbol val="none"/>
          </c:marker>
          <c:xVal>
            <c:numRef>
              <c:f>'ZS2213-22'!$F$3:$F$49</c:f>
              <c:numCache>
                <c:formatCode>General</c:formatCode>
                <c:ptCount val="47"/>
                <c:pt idx="1">
                  <c:v>0.46</c:v>
                </c:pt>
                <c:pt idx="2">
                  <c:v>0.92</c:v>
                </c:pt>
                <c:pt idx="3">
                  <c:v>1.3800000000000001</c:v>
                </c:pt>
                <c:pt idx="4">
                  <c:v>1.84</c:v>
                </c:pt>
                <c:pt idx="5">
                  <c:v>2.3000000000000003</c:v>
                </c:pt>
                <c:pt idx="6">
                  <c:v>2.7600000000000002</c:v>
                </c:pt>
                <c:pt idx="7">
                  <c:v>3.22</c:v>
                </c:pt>
                <c:pt idx="8">
                  <c:v>3.68</c:v>
                </c:pt>
                <c:pt idx="9">
                  <c:v>4.1400000000000006</c:v>
                </c:pt>
                <c:pt idx="10">
                  <c:v>4.6000000000000005</c:v>
                </c:pt>
                <c:pt idx="11">
                  <c:v>5.0600000000000005</c:v>
                </c:pt>
                <c:pt idx="12">
                  <c:v>5.5200000000000005</c:v>
                </c:pt>
                <c:pt idx="13">
                  <c:v>5.98</c:v>
                </c:pt>
                <c:pt idx="14">
                  <c:v>6.44</c:v>
                </c:pt>
                <c:pt idx="15">
                  <c:v>6.9</c:v>
                </c:pt>
                <c:pt idx="16">
                  <c:v>7.36</c:v>
                </c:pt>
                <c:pt idx="17">
                  <c:v>7.82</c:v>
                </c:pt>
                <c:pt idx="18">
                  <c:v>8.2800000000000011</c:v>
                </c:pt>
                <c:pt idx="19">
                  <c:v>8.740000000000002</c:v>
                </c:pt>
                <c:pt idx="20">
                  <c:v>9.2000000000000028</c:v>
                </c:pt>
                <c:pt idx="21">
                  <c:v>9.6600000000000037</c:v>
                </c:pt>
                <c:pt idx="22">
                  <c:v>10.120000000000005</c:v>
                </c:pt>
                <c:pt idx="23">
                  <c:v>10.580000000000005</c:v>
                </c:pt>
                <c:pt idx="24">
                  <c:v>11.040000000000006</c:v>
                </c:pt>
                <c:pt idx="25">
                  <c:v>11.500000000000007</c:v>
                </c:pt>
                <c:pt idx="26">
                  <c:v>11.960000000000008</c:v>
                </c:pt>
                <c:pt idx="27">
                  <c:v>12.420000000000009</c:v>
                </c:pt>
                <c:pt idx="28">
                  <c:v>12.88000000000001</c:v>
                </c:pt>
                <c:pt idx="29">
                  <c:v>13.340000000000011</c:v>
                </c:pt>
                <c:pt idx="30">
                  <c:v>13.800000000000011</c:v>
                </c:pt>
                <c:pt idx="31">
                  <c:v>14.260000000000012</c:v>
                </c:pt>
                <c:pt idx="32">
                  <c:v>14.720000000000013</c:v>
                </c:pt>
                <c:pt idx="33">
                  <c:v>15.180000000000014</c:v>
                </c:pt>
                <c:pt idx="34">
                  <c:v>15.640000000000015</c:v>
                </c:pt>
                <c:pt idx="35">
                  <c:v>16.100000000000016</c:v>
                </c:pt>
                <c:pt idx="36">
                  <c:v>16.560000000000016</c:v>
                </c:pt>
                <c:pt idx="37">
                  <c:v>17.020000000000017</c:v>
                </c:pt>
                <c:pt idx="38">
                  <c:v>17.480000000000018</c:v>
                </c:pt>
                <c:pt idx="39">
                  <c:v>17.940000000000019</c:v>
                </c:pt>
                <c:pt idx="40">
                  <c:v>18.40000000000002</c:v>
                </c:pt>
                <c:pt idx="41">
                  <c:v>18.860000000000021</c:v>
                </c:pt>
                <c:pt idx="42">
                  <c:v>19.320000000000022</c:v>
                </c:pt>
                <c:pt idx="43">
                  <c:v>19.780000000000022</c:v>
                </c:pt>
                <c:pt idx="44">
                  <c:v>20.240000000000023</c:v>
                </c:pt>
                <c:pt idx="45">
                  <c:v>20.700000000000024</c:v>
                </c:pt>
                <c:pt idx="46">
                  <c:v>21</c:v>
                </c:pt>
              </c:numCache>
            </c:numRef>
          </c:xVal>
          <c:yVal>
            <c:numRef>
              <c:f>'ZS2213-22'!$H$3:$H$49</c:f>
              <c:numCache>
                <c:formatCode>General</c:formatCode>
                <c:ptCount val="47"/>
                <c:pt idx="1">
                  <c:v>5775.4000000000005</c:v>
                </c:pt>
                <c:pt idx="2">
                  <c:v>5729.4036800000003</c:v>
                </c:pt>
                <c:pt idx="3">
                  <c:v>5683.4073600000002</c:v>
                </c:pt>
                <c:pt idx="4">
                  <c:v>5637.41104</c:v>
                </c:pt>
                <c:pt idx="5">
                  <c:v>5591.4147199999998</c:v>
                </c:pt>
                <c:pt idx="6">
                  <c:v>5545.4183999999996</c:v>
                </c:pt>
                <c:pt idx="7">
                  <c:v>5499.4220799999994</c:v>
                </c:pt>
                <c:pt idx="8">
                  <c:v>5453.4257599999992</c:v>
                </c:pt>
                <c:pt idx="9">
                  <c:v>5407.429439999999</c:v>
                </c:pt>
                <c:pt idx="10">
                  <c:v>5361.4331199999988</c:v>
                </c:pt>
                <c:pt idx="11">
                  <c:v>5315.4367999999986</c:v>
                </c:pt>
                <c:pt idx="12">
                  <c:v>5269.4404799999984</c:v>
                </c:pt>
                <c:pt idx="13">
                  <c:v>5223.4441599999982</c:v>
                </c:pt>
                <c:pt idx="14">
                  <c:v>5177.447839999998</c:v>
                </c:pt>
                <c:pt idx="15">
                  <c:v>5131.4515199999978</c:v>
                </c:pt>
                <c:pt idx="16">
                  <c:v>5085.4551999999976</c:v>
                </c:pt>
                <c:pt idx="17">
                  <c:v>5039.4588799999974</c:v>
                </c:pt>
                <c:pt idx="18">
                  <c:v>4993.4625599999972</c:v>
                </c:pt>
                <c:pt idx="19">
                  <c:v>4947.466239999997</c:v>
                </c:pt>
                <c:pt idx="20">
                  <c:v>4901.4699199999968</c:v>
                </c:pt>
                <c:pt idx="21">
                  <c:v>4855.4735999999966</c:v>
                </c:pt>
                <c:pt idx="22">
                  <c:v>4809.4772799999964</c:v>
                </c:pt>
                <c:pt idx="23">
                  <c:v>4763.4809599999962</c:v>
                </c:pt>
                <c:pt idx="24">
                  <c:v>4717.484639999996</c:v>
                </c:pt>
                <c:pt idx="25">
                  <c:v>4671.4883199999958</c:v>
                </c:pt>
                <c:pt idx="26">
                  <c:v>4625.4919999999956</c:v>
                </c:pt>
                <c:pt idx="27">
                  <c:v>4579.4956799999954</c:v>
                </c:pt>
                <c:pt idx="28">
                  <c:v>4533.4993599999952</c:v>
                </c:pt>
                <c:pt idx="29">
                  <c:v>4487.5030399999951</c:v>
                </c:pt>
                <c:pt idx="30">
                  <c:v>4441.5067199999949</c:v>
                </c:pt>
                <c:pt idx="31">
                  <c:v>4395.5103999999947</c:v>
                </c:pt>
                <c:pt idx="32">
                  <c:v>4349.5140799999945</c:v>
                </c:pt>
                <c:pt idx="33">
                  <c:v>4303.5177599999943</c:v>
                </c:pt>
                <c:pt idx="34">
                  <c:v>4257.5214399999941</c:v>
                </c:pt>
                <c:pt idx="35">
                  <c:v>4211.5251199999939</c:v>
                </c:pt>
                <c:pt idx="36">
                  <c:v>4165.5287999999937</c:v>
                </c:pt>
                <c:pt idx="37">
                  <c:v>4119.5324799999935</c:v>
                </c:pt>
                <c:pt idx="38">
                  <c:v>4073.5361599999933</c:v>
                </c:pt>
                <c:pt idx="39">
                  <c:v>4027.5398399999931</c:v>
                </c:pt>
                <c:pt idx="40">
                  <c:v>3981.5435199999929</c:v>
                </c:pt>
                <c:pt idx="41">
                  <c:v>3935.5471999999927</c:v>
                </c:pt>
                <c:pt idx="42">
                  <c:v>3889.5508799999925</c:v>
                </c:pt>
                <c:pt idx="43">
                  <c:v>3843.5545599999923</c:v>
                </c:pt>
                <c:pt idx="44">
                  <c:v>3797.5582399999921</c:v>
                </c:pt>
                <c:pt idx="45">
                  <c:v>3751.5619199999919</c:v>
                </c:pt>
                <c:pt idx="46">
                  <c:v>3721.5643199999945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538368"/>
        <c:axId val="220536832"/>
      </c:scatterChart>
      <c:valAx>
        <c:axId val="220533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0535040"/>
        <c:crosses val="autoZero"/>
        <c:crossBetween val="midCat"/>
      </c:valAx>
      <c:valAx>
        <c:axId val="220535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0533504"/>
        <c:crosses val="autoZero"/>
        <c:crossBetween val="midCat"/>
      </c:valAx>
      <c:valAx>
        <c:axId val="2205368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20538368"/>
        <c:crosses val="max"/>
        <c:crossBetween val="midCat"/>
      </c:valAx>
      <c:valAx>
        <c:axId val="220538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205368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'ZS2213-22'!$G$2</c:f>
              <c:strCache>
                <c:ptCount val="1"/>
                <c:pt idx="0">
                  <c:v>有効トルク[Nm]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'ZS2213-22'!$H$3:$H$49</c:f>
              <c:numCache>
                <c:formatCode>General</c:formatCode>
                <c:ptCount val="47"/>
                <c:pt idx="1">
                  <c:v>5775.4000000000005</c:v>
                </c:pt>
                <c:pt idx="2">
                  <c:v>5729.4036800000003</c:v>
                </c:pt>
                <c:pt idx="3">
                  <c:v>5683.4073600000002</c:v>
                </c:pt>
                <c:pt idx="4">
                  <c:v>5637.41104</c:v>
                </c:pt>
                <c:pt idx="5">
                  <c:v>5591.4147199999998</c:v>
                </c:pt>
                <c:pt idx="6">
                  <c:v>5545.4183999999996</c:v>
                </c:pt>
                <c:pt idx="7">
                  <c:v>5499.4220799999994</c:v>
                </c:pt>
                <c:pt idx="8">
                  <c:v>5453.4257599999992</c:v>
                </c:pt>
                <c:pt idx="9">
                  <c:v>5407.429439999999</c:v>
                </c:pt>
                <c:pt idx="10">
                  <c:v>5361.4331199999988</c:v>
                </c:pt>
                <c:pt idx="11">
                  <c:v>5315.4367999999986</c:v>
                </c:pt>
                <c:pt idx="12">
                  <c:v>5269.4404799999984</c:v>
                </c:pt>
                <c:pt idx="13">
                  <c:v>5223.4441599999982</c:v>
                </c:pt>
                <c:pt idx="14">
                  <c:v>5177.447839999998</c:v>
                </c:pt>
                <c:pt idx="15">
                  <c:v>5131.4515199999978</c:v>
                </c:pt>
                <c:pt idx="16">
                  <c:v>5085.4551999999976</c:v>
                </c:pt>
                <c:pt idx="17">
                  <c:v>5039.4588799999974</c:v>
                </c:pt>
                <c:pt idx="18">
                  <c:v>4993.4625599999972</c:v>
                </c:pt>
                <c:pt idx="19">
                  <c:v>4947.466239999997</c:v>
                </c:pt>
                <c:pt idx="20">
                  <c:v>4901.4699199999968</c:v>
                </c:pt>
                <c:pt idx="21">
                  <c:v>4855.4735999999966</c:v>
                </c:pt>
                <c:pt idx="22">
                  <c:v>4809.4772799999964</c:v>
                </c:pt>
                <c:pt idx="23">
                  <c:v>4763.4809599999962</c:v>
                </c:pt>
                <c:pt idx="24">
                  <c:v>4717.484639999996</c:v>
                </c:pt>
                <c:pt idx="25">
                  <c:v>4671.4883199999958</c:v>
                </c:pt>
                <c:pt idx="26">
                  <c:v>4625.4919999999956</c:v>
                </c:pt>
                <c:pt idx="27">
                  <c:v>4579.4956799999954</c:v>
                </c:pt>
                <c:pt idx="28">
                  <c:v>4533.4993599999952</c:v>
                </c:pt>
                <c:pt idx="29">
                  <c:v>4487.5030399999951</c:v>
                </c:pt>
                <c:pt idx="30">
                  <c:v>4441.5067199999949</c:v>
                </c:pt>
                <c:pt idx="31">
                  <c:v>4395.5103999999947</c:v>
                </c:pt>
                <c:pt idx="32">
                  <c:v>4349.5140799999945</c:v>
                </c:pt>
                <c:pt idx="33">
                  <c:v>4303.5177599999943</c:v>
                </c:pt>
                <c:pt idx="34">
                  <c:v>4257.5214399999941</c:v>
                </c:pt>
                <c:pt idx="35">
                  <c:v>4211.5251199999939</c:v>
                </c:pt>
                <c:pt idx="36">
                  <c:v>4165.5287999999937</c:v>
                </c:pt>
                <c:pt idx="37">
                  <c:v>4119.5324799999935</c:v>
                </c:pt>
                <c:pt idx="38">
                  <c:v>4073.5361599999933</c:v>
                </c:pt>
                <c:pt idx="39">
                  <c:v>4027.5398399999931</c:v>
                </c:pt>
                <c:pt idx="40">
                  <c:v>3981.5435199999929</c:v>
                </c:pt>
                <c:pt idx="41">
                  <c:v>3935.5471999999927</c:v>
                </c:pt>
                <c:pt idx="42">
                  <c:v>3889.5508799999925</c:v>
                </c:pt>
                <c:pt idx="43">
                  <c:v>3843.5545599999923</c:v>
                </c:pt>
                <c:pt idx="44">
                  <c:v>3797.5582399999921</c:v>
                </c:pt>
                <c:pt idx="45">
                  <c:v>3751.5619199999919</c:v>
                </c:pt>
                <c:pt idx="46">
                  <c:v>3721.5643199999945</c:v>
                </c:pt>
              </c:numCache>
            </c:numRef>
          </c:xVal>
          <c:yVal>
            <c:numRef>
              <c:f>'ZS2213-22'!$G$3:$G$49</c:f>
              <c:numCache>
                <c:formatCode>General</c:formatCode>
                <c:ptCount val="47"/>
                <c:pt idx="1">
                  <c:v>0</c:v>
                </c:pt>
                <c:pt idx="2">
                  <c:v>5.0959123310166032E-3</c:v>
                </c:pt>
                <c:pt idx="3">
                  <c:v>1.0191824662033208E-2</c:v>
                </c:pt>
                <c:pt idx="4">
                  <c:v>1.5287736993049809E-2</c:v>
                </c:pt>
                <c:pt idx="5">
                  <c:v>2.0383649324066413E-2</c:v>
                </c:pt>
                <c:pt idx="6">
                  <c:v>2.5479561655083017E-2</c:v>
                </c:pt>
                <c:pt idx="7">
                  <c:v>3.0575473986099617E-2</c:v>
                </c:pt>
                <c:pt idx="8">
                  <c:v>3.5671386317116222E-2</c:v>
                </c:pt>
                <c:pt idx="9">
                  <c:v>4.0767298648132833E-2</c:v>
                </c:pt>
                <c:pt idx="10">
                  <c:v>4.586321097914943E-2</c:v>
                </c:pt>
                <c:pt idx="11">
                  <c:v>5.0959123310166034E-2</c:v>
                </c:pt>
                <c:pt idx="12">
                  <c:v>5.6055035641182638E-2</c:v>
                </c:pt>
                <c:pt idx="13">
                  <c:v>6.1150947972199242E-2</c:v>
                </c:pt>
                <c:pt idx="14">
                  <c:v>6.6246860303215846E-2</c:v>
                </c:pt>
                <c:pt idx="15">
                  <c:v>7.1342772634232457E-2</c:v>
                </c:pt>
                <c:pt idx="16">
                  <c:v>7.6438684965249054E-2</c:v>
                </c:pt>
                <c:pt idx="17">
                  <c:v>8.1534597296265651E-2</c:v>
                </c:pt>
                <c:pt idx="18">
                  <c:v>8.6630509627282276E-2</c:v>
                </c:pt>
                <c:pt idx="19">
                  <c:v>9.1726421958298887E-2</c:v>
                </c:pt>
                <c:pt idx="20">
                  <c:v>9.6822334289315498E-2</c:v>
                </c:pt>
                <c:pt idx="21">
                  <c:v>0.10191824662033211</c:v>
                </c:pt>
                <c:pt idx="22">
                  <c:v>0.10701415895134872</c:v>
                </c:pt>
                <c:pt idx="23">
                  <c:v>0.11211007128236533</c:v>
                </c:pt>
                <c:pt idx="24">
                  <c:v>0.11720598361338194</c:v>
                </c:pt>
                <c:pt idx="25">
                  <c:v>0.12230189594439857</c:v>
                </c:pt>
                <c:pt idx="26">
                  <c:v>0.12739780827541516</c:v>
                </c:pt>
                <c:pt idx="27">
                  <c:v>0.13249372060643178</c:v>
                </c:pt>
                <c:pt idx="28">
                  <c:v>0.13758963293744839</c:v>
                </c:pt>
                <c:pt idx="29">
                  <c:v>0.142685545268465</c:v>
                </c:pt>
                <c:pt idx="30">
                  <c:v>0.14778145759948161</c:v>
                </c:pt>
                <c:pt idx="31">
                  <c:v>0.15287736993049822</c:v>
                </c:pt>
                <c:pt idx="32">
                  <c:v>0.15797328226151483</c:v>
                </c:pt>
                <c:pt idx="33">
                  <c:v>0.16306919459253144</c:v>
                </c:pt>
                <c:pt idx="34">
                  <c:v>0.16816510692354805</c:v>
                </c:pt>
                <c:pt idx="35">
                  <c:v>0.17326101925456466</c:v>
                </c:pt>
                <c:pt idx="36">
                  <c:v>0.17835693158558127</c:v>
                </c:pt>
                <c:pt idx="37">
                  <c:v>0.18345284391659789</c:v>
                </c:pt>
                <c:pt idx="38">
                  <c:v>0.1885487562476145</c:v>
                </c:pt>
                <c:pt idx="39">
                  <c:v>0.19364466857863111</c:v>
                </c:pt>
                <c:pt idx="40">
                  <c:v>0.19874058090964772</c:v>
                </c:pt>
                <c:pt idx="41">
                  <c:v>0.20383649324066433</c:v>
                </c:pt>
                <c:pt idx="42">
                  <c:v>0.20893240557168097</c:v>
                </c:pt>
                <c:pt idx="43">
                  <c:v>0.21402831790269758</c:v>
                </c:pt>
                <c:pt idx="44">
                  <c:v>0.21912423023371419</c:v>
                </c:pt>
                <c:pt idx="45">
                  <c:v>0.2242201425647308</c:v>
                </c:pt>
                <c:pt idx="46">
                  <c:v>0.22754356365017614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555904"/>
        <c:axId val="220565888"/>
      </c:scatterChart>
      <c:valAx>
        <c:axId val="22055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0565888"/>
        <c:crosses val="autoZero"/>
        <c:crossBetween val="midCat"/>
      </c:valAx>
      <c:valAx>
        <c:axId val="220565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05559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'ZS2209-30'!$G$2</c:f>
              <c:strCache>
                <c:ptCount val="1"/>
                <c:pt idx="0">
                  <c:v>有効トルク[Nm]</c:v>
                </c:pt>
              </c:strCache>
            </c:strRef>
          </c:tx>
          <c:marker>
            <c:symbol val="none"/>
          </c:marker>
          <c:xVal>
            <c:numRef>
              <c:f>'ZS2209-30'!$F$3:$F$49</c:f>
              <c:numCache>
                <c:formatCode>General</c:formatCode>
                <c:ptCount val="47"/>
                <c:pt idx="1">
                  <c:v>0.45</c:v>
                </c:pt>
                <c:pt idx="2">
                  <c:v>0.9</c:v>
                </c:pt>
                <c:pt idx="3">
                  <c:v>1.35</c:v>
                </c:pt>
                <c:pt idx="4">
                  <c:v>1.8</c:v>
                </c:pt>
                <c:pt idx="5">
                  <c:v>2.25</c:v>
                </c:pt>
                <c:pt idx="6">
                  <c:v>2.7</c:v>
                </c:pt>
                <c:pt idx="7">
                  <c:v>3.1500000000000004</c:v>
                </c:pt>
                <c:pt idx="8">
                  <c:v>3.6000000000000005</c:v>
                </c:pt>
                <c:pt idx="9">
                  <c:v>4.0500000000000007</c:v>
                </c:pt>
                <c:pt idx="10">
                  <c:v>4.5000000000000009</c:v>
                </c:pt>
                <c:pt idx="11">
                  <c:v>4.9500000000000011</c:v>
                </c:pt>
                <c:pt idx="12">
                  <c:v>5.4000000000000012</c:v>
                </c:pt>
                <c:pt idx="13">
                  <c:v>5.8500000000000014</c:v>
                </c:pt>
                <c:pt idx="14">
                  <c:v>6.3000000000000016</c:v>
                </c:pt>
                <c:pt idx="15">
                  <c:v>6.7500000000000018</c:v>
                </c:pt>
                <c:pt idx="16">
                  <c:v>7.200000000000002</c:v>
                </c:pt>
                <c:pt idx="17">
                  <c:v>7.6500000000000021</c:v>
                </c:pt>
                <c:pt idx="18">
                  <c:v>8.1000000000000014</c:v>
                </c:pt>
                <c:pt idx="19">
                  <c:v>8.5500000000000007</c:v>
                </c:pt>
                <c:pt idx="20">
                  <c:v>9</c:v>
                </c:pt>
                <c:pt idx="21">
                  <c:v>9.4499999999999993</c:v>
                </c:pt>
                <c:pt idx="22">
                  <c:v>9.8999999999999986</c:v>
                </c:pt>
                <c:pt idx="23">
                  <c:v>10.349999999999998</c:v>
                </c:pt>
                <c:pt idx="24">
                  <c:v>10.799999999999997</c:v>
                </c:pt>
                <c:pt idx="25">
                  <c:v>11.249999999999996</c:v>
                </c:pt>
                <c:pt idx="26">
                  <c:v>11.699999999999996</c:v>
                </c:pt>
                <c:pt idx="27">
                  <c:v>12.149999999999995</c:v>
                </c:pt>
                <c:pt idx="28">
                  <c:v>12.599999999999994</c:v>
                </c:pt>
                <c:pt idx="29">
                  <c:v>13.049999999999994</c:v>
                </c:pt>
                <c:pt idx="30">
                  <c:v>13.499999999999993</c:v>
                </c:pt>
                <c:pt idx="31">
                  <c:v>13.949999999999992</c:v>
                </c:pt>
                <c:pt idx="32">
                  <c:v>14.399999999999991</c:v>
                </c:pt>
                <c:pt idx="33">
                  <c:v>14.849999999999991</c:v>
                </c:pt>
                <c:pt idx="34">
                  <c:v>15.29999999999999</c:v>
                </c:pt>
                <c:pt idx="35">
                  <c:v>15.749999999999989</c:v>
                </c:pt>
                <c:pt idx="36">
                  <c:v>16.199999999999989</c:v>
                </c:pt>
                <c:pt idx="37">
                  <c:v>16.649999999999988</c:v>
                </c:pt>
                <c:pt idx="38">
                  <c:v>17</c:v>
                </c:pt>
              </c:numCache>
            </c:numRef>
          </c:xVal>
          <c:yVal>
            <c:numRef>
              <c:f>'ZS2209-30'!$K$3:$K$49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4.5233510141907107</c:v>
                </c:pt>
                <c:pt idx="3">
                  <c:v>9.0467020283814197</c:v>
                </c:pt>
                <c:pt idx="4">
                  <c:v>13.570053042572132</c:v>
                </c:pt>
                <c:pt idx="5">
                  <c:v>18.093404056762843</c:v>
                </c:pt>
                <c:pt idx="6">
                  <c:v>22.616755070953552</c:v>
                </c:pt>
                <c:pt idx="7">
                  <c:v>27.140106085144261</c:v>
                </c:pt>
                <c:pt idx="8">
                  <c:v>31.66345709933497</c:v>
                </c:pt>
                <c:pt idx="9">
                  <c:v>36.186808113525686</c:v>
                </c:pt>
                <c:pt idx="10">
                  <c:v>40.710159127716395</c:v>
                </c:pt>
                <c:pt idx="11">
                  <c:v>45.233510141907111</c:v>
                </c:pt>
                <c:pt idx="12">
                  <c:v>49.75686115609782</c:v>
                </c:pt>
                <c:pt idx="13">
                  <c:v>54.280212170288529</c:v>
                </c:pt>
                <c:pt idx="14">
                  <c:v>58.803563184479238</c:v>
                </c:pt>
                <c:pt idx="15">
                  <c:v>63.326914198669954</c:v>
                </c:pt>
                <c:pt idx="16">
                  <c:v>67.850265212860663</c:v>
                </c:pt>
                <c:pt idx="17">
                  <c:v>72.373616227051386</c:v>
                </c:pt>
                <c:pt idx="18">
                  <c:v>76.896967241242081</c:v>
                </c:pt>
                <c:pt idx="19">
                  <c:v>81.420318255432775</c:v>
                </c:pt>
                <c:pt idx="20">
                  <c:v>85.943669269623484</c:v>
                </c:pt>
                <c:pt idx="21">
                  <c:v>90.467020283814193</c:v>
                </c:pt>
                <c:pt idx="22">
                  <c:v>94.990371298004888</c:v>
                </c:pt>
                <c:pt idx="23">
                  <c:v>99.513722312195583</c:v>
                </c:pt>
                <c:pt idx="24">
                  <c:v>104.03707332638631</c:v>
                </c:pt>
                <c:pt idx="25">
                  <c:v>108.560424340577</c:v>
                </c:pt>
                <c:pt idx="26">
                  <c:v>113.0837753547677</c:v>
                </c:pt>
                <c:pt idx="27">
                  <c:v>117.6071263689584</c:v>
                </c:pt>
                <c:pt idx="28">
                  <c:v>122.13047738314911</c:v>
                </c:pt>
                <c:pt idx="29">
                  <c:v>126.65382839733982</c:v>
                </c:pt>
                <c:pt idx="30">
                  <c:v>131.17717941153052</c:v>
                </c:pt>
                <c:pt idx="31">
                  <c:v>135.70053042572121</c:v>
                </c:pt>
                <c:pt idx="32">
                  <c:v>140.22388143991191</c:v>
                </c:pt>
                <c:pt idx="33">
                  <c:v>144.74723245410263</c:v>
                </c:pt>
                <c:pt idx="34">
                  <c:v>149.27058346829332</c:v>
                </c:pt>
                <c:pt idx="35">
                  <c:v>153.79393448248402</c:v>
                </c:pt>
                <c:pt idx="36">
                  <c:v>158.31728549667474</c:v>
                </c:pt>
                <c:pt idx="37">
                  <c:v>162.84063651086544</c:v>
                </c:pt>
                <c:pt idx="38">
                  <c:v>166.35879841079165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'ZS2209-30'!$J$2</c:f>
              <c:strCache>
                <c:ptCount val="1"/>
                <c:pt idx="0">
                  <c:v>効率[%]</c:v>
                </c:pt>
              </c:strCache>
            </c:strRef>
          </c:tx>
          <c:marker>
            <c:symbol val="none"/>
          </c:marker>
          <c:xVal>
            <c:numRef>
              <c:f>'ZS2209-30'!$F$3:$F$49</c:f>
              <c:numCache>
                <c:formatCode>General</c:formatCode>
                <c:ptCount val="47"/>
                <c:pt idx="1">
                  <c:v>0.45</c:v>
                </c:pt>
                <c:pt idx="2">
                  <c:v>0.9</c:v>
                </c:pt>
                <c:pt idx="3">
                  <c:v>1.35</c:v>
                </c:pt>
                <c:pt idx="4">
                  <c:v>1.8</c:v>
                </c:pt>
                <c:pt idx="5">
                  <c:v>2.25</c:v>
                </c:pt>
                <c:pt idx="6">
                  <c:v>2.7</c:v>
                </c:pt>
                <c:pt idx="7">
                  <c:v>3.1500000000000004</c:v>
                </c:pt>
                <c:pt idx="8">
                  <c:v>3.6000000000000005</c:v>
                </c:pt>
                <c:pt idx="9">
                  <c:v>4.0500000000000007</c:v>
                </c:pt>
                <c:pt idx="10">
                  <c:v>4.5000000000000009</c:v>
                </c:pt>
                <c:pt idx="11">
                  <c:v>4.9500000000000011</c:v>
                </c:pt>
                <c:pt idx="12">
                  <c:v>5.4000000000000012</c:v>
                </c:pt>
                <c:pt idx="13">
                  <c:v>5.8500000000000014</c:v>
                </c:pt>
                <c:pt idx="14">
                  <c:v>6.3000000000000016</c:v>
                </c:pt>
                <c:pt idx="15">
                  <c:v>6.7500000000000018</c:v>
                </c:pt>
                <c:pt idx="16">
                  <c:v>7.200000000000002</c:v>
                </c:pt>
                <c:pt idx="17">
                  <c:v>7.6500000000000021</c:v>
                </c:pt>
                <c:pt idx="18">
                  <c:v>8.1000000000000014</c:v>
                </c:pt>
                <c:pt idx="19">
                  <c:v>8.5500000000000007</c:v>
                </c:pt>
                <c:pt idx="20">
                  <c:v>9</c:v>
                </c:pt>
                <c:pt idx="21">
                  <c:v>9.4499999999999993</c:v>
                </c:pt>
                <c:pt idx="22">
                  <c:v>9.8999999999999986</c:v>
                </c:pt>
                <c:pt idx="23">
                  <c:v>10.349999999999998</c:v>
                </c:pt>
                <c:pt idx="24">
                  <c:v>10.799999999999997</c:v>
                </c:pt>
                <c:pt idx="25">
                  <c:v>11.249999999999996</c:v>
                </c:pt>
                <c:pt idx="26">
                  <c:v>11.699999999999996</c:v>
                </c:pt>
                <c:pt idx="27">
                  <c:v>12.149999999999995</c:v>
                </c:pt>
                <c:pt idx="28">
                  <c:v>12.599999999999994</c:v>
                </c:pt>
                <c:pt idx="29">
                  <c:v>13.049999999999994</c:v>
                </c:pt>
                <c:pt idx="30">
                  <c:v>13.499999999999993</c:v>
                </c:pt>
                <c:pt idx="31">
                  <c:v>13.949999999999992</c:v>
                </c:pt>
                <c:pt idx="32">
                  <c:v>14.399999999999991</c:v>
                </c:pt>
                <c:pt idx="33">
                  <c:v>14.849999999999991</c:v>
                </c:pt>
                <c:pt idx="34">
                  <c:v>15.29999999999999</c:v>
                </c:pt>
                <c:pt idx="35">
                  <c:v>15.749999999999989</c:v>
                </c:pt>
                <c:pt idx="36">
                  <c:v>16.199999999999989</c:v>
                </c:pt>
                <c:pt idx="37">
                  <c:v>16.649999999999988</c:v>
                </c:pt>
                <c:pt idx="38">
                  <c:v>17</c:v>
                </c:pt>
              </c:numCache>
            </c:numRef>
          </c:xVal>
          <c:yVal>
            <c:numRef>
              <c:f>'ZS2209-30'!$J$3:$J$49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49.459328358208964</c:v>
                </c:pt>
                <c:pt idx="3">
                  <c:v>65.224875621890519</c:v>
                </c:pt>
                <c:pt idx="4">
                  <c:v>72.566977611940302</c:v>
                </c:pt>
                <c:pt idx="5">
                  <c:v>76.539701492537304</c:v>
                </c:pt>
                <c:pt idx="6">
                  <c:v>78.827736318407929</c:v>
                </c:pt>
                <c:pt idx="7">
                  <c:v>80.153091684434926</c:v>
                </c:pt>
                <c:pt idx="8">
                  <c:v>80.876772388059663</c:v>
                </c:pt>
                <c:pt idx="9">
                  <c:v>81.199336650082884</c:v>
                </c:pt>
                <c:pt idx="10">
                  <c:v>81.241119402985035</c:v>
                </c:pt>
                <c:pt idx="11">
                  <c:v>81.078697421980962</c:v>
                </c:pt>
                <c:pt idx="12">
                  <c:v>80.763121890547211</c:v>
                </c:pt>
                <c:pt idx="13">
                  <c:v>80.329735935706026</c:v>
                </c:pt>
                <c:pt idx="14">
                  <c:v>79.803784648187559</c:v>
                </c:pt>
                <c:pt idx="15">
                  <c:v>79.203781094527272</c:v>
                </c:pt>
                <c:pt idx="16">
                  <c:v>78.543610074626812</c:v>
                </c:pt>
                <c:pt idx="17">
                  <c:v>77.833889376646098</c:v>
                </c:pt>
                <c:pt idx="18">
                  <c:v>77.082877280265265</c:v>
                </c:pt>
                <c:pt idx="19">
                  <c:v>76.297093479968524</c:v>
                </c:pt>
                <c:pt idx="20">
                  <c:v>75.481753731343218</c:v>
                </c:pt>
                <c:pt idx="21">
                  <c:v>74.641080312722053</c:v>
                </c:pt>
                <c:pt idx="22">
                  <c:v>73.778527815468053</c:v>
                </c:pt>
                <c:pt idx="23">
                  <c:v>72.896950032446412</c:v>
                </c:pt>
                <c:pt idx="24">
                  <c:v>71.998725124378069</c:v>
                </c:pt>
                <c:pt idx="25">
                  <c:v>71.085850746268619</c:v>
                </c:pt>
                <c:pt idx="26">
                  <c:v>70.160017221584354</c:v>
                </c:pt>
                <c:pt idx="27">
                  <c:v>69.222664455500251</c:v>
                </c:pt>
                <c:pt idx="28">
                  <c:v>68.275026652452013</c:v>
                </c:pt>
                <c:pt idx="29">
                  <c:v>67.31816778178073</c:v>
                </c:pt>
                <c:pt idx="30">
                  <c:v>66.353009950248733</c:v>
                </c:pt>
                <c:pt idx="31">
                  <c:v>65.380356283100596</c:v>
                </c:pt>
                <c:pt idx="32">
                  <c:v>64.40090951492536</c:v>
                </c:pt>
                <c:pt idx="33">
                  <c:v>63.415287200361803</c:v>
                </c:pt>
                <c:pt idx="34">
                  <c:v>62.424034240561888</c:v>
                </c:pt>
                <c:pt idx="35">
                  <c:v>61.427633262260116</c:v>
                </c:pt>
                <c:pt idx="36">
                  <c:v>60.426513266998342</c:v>
                </c:pt>
                <c:pt idx="37">
                  <c:v>59.421056877773282</c:v>
                </c:pt>
                <c:pt idx="38">
                  <c:v>58.636257682177309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082048"/>
        <c:axId val="230083584"/>
      </c:scatterChart>
      <c:scatterChart>
        <c:scatterStyle val="smoothMarker"/>
        <c:varyColors val="0"/>
        <c:ser>
          <c:idx val="1"/>
          <c:order val="1"/>
          <c:tx>
            <c:strRef>
              <c:f>'ZS2209-30'!$H$2</c:f>
              <c:strCache>
                <c:ptCount val="1"/>
                <c:pt idx="0">
                  <c:v>回転数[rpm]</c:v>
                </c:pt>
              </c:strCache>
            </c:strRef>
          </c:tx>
          <c:marker>
            <c:symbol val="none"/>
          </c:marker>
          <c:xVal>
            <c:numRef>
              <c:f>'ZS2209-30'!$F$3:$F$49</c:f>
              <c:numCache>
                <c:formatCode>General</c:formatCode>
                <c:ptCount val="47"/>
                <c:pt idx="1">
                  <c:v>0.45</c:v>
                </c:pt>
                <c:pt idx="2">
                  <c:v>0.9</c:v>
                </c:pt>
                <c:pt idx="3">
                  <c:v>1.35</c:v>
                </c:pt>
                <c:pt idx="4">
                  <c:v>1.8</c:v>
                </c:pt>
                <c:pt idx="5">
                  <c:v>2.25</c:v>
                </c:pt>
                <c:pt idx="6">
                  <c:v>2.7</c:v>
                </c:pt>
                <c:pt idx="7">
                  <c:v>3.1500000000000004</c:v>
                </c:pt>
                <c:pt idx="8">
                  <c:v>3.6000000000000005</c:v>
                </c:pt>
                <c:pt idx="9">
                  <c:v>4.0500000000000007</c:v>
                </c:pt>
                <c:pt idx="10">
                  <c:v>4.5000000000000009</c:v>
                </c:pt>
                <c:pt idx="11">
                  <c:v>4.9500000000000011</c:v>
                </c:pt>
                <c:pt idx="12">
                  <c:v>5.4000000000000012</c:v>
                </c:pt>
                <c:pt idx="13">
                  <c:v>5.8500000000000014</c:v>
                </c:pt>
                <c:pt idx="14">
                  <c:v>6.3000000000000016</c:v>
                </c:pt>
                <c:pt idx="15">
                  <c:v>6.7500000000000018</c:v>
                </c:pt>
                <c:pt idx="16">
                  <c:v>7.200000000000002</c:v>
                </c:pt>
                <c:pt idx="17">
                  <c:v>7.6500000000000021</c:v>
                </c:pt>
                <c:pt idx="18">
                  <c:v>8.1000000000000014</c:v>
                </c:pt>
                <c:pt idx="19">
                  <c:v>8.5500000000000007</c:v>
                </c:pt>
                <c:pt idx="20">
                  <c:v>9</c:v>
                </c:pt>
                <c:pt idx="21">
                  <c:v>9.4499999999999993</c:v>
                </c:pt>
                <c:pt idx="22">
                  <c:v>9.8999999999999986</c:v>
                </c:pt>
                <c:pt idx="23">
                  <c:v>10.349999999999998</c:v>
                </c:pt>
                <c:pt idx="24">
                  <c:v>10.799999999999997</c:v>
                </c:pt>
                <c:pt idx="25">
                  <c:v>11.249999999999996</c:v>
                </c:pt>
                <c:pt idx="26">
                  <c:v>11.699999999999996</c:v>
                </c:pt>
                <c:pt idx="27">
                  <c:v>12.149999999999995</c:v>
                </c:pt>
                <c:pt idx="28">
                  <c:v>12.599999999999994</c:v>
                </c:pt>
                <c:pt idx="29">
                  <c:v>13.049999999999994</c:v>
                </c:pt>
                <c:pt idx="30">
                  <c:v>13.499999999999993</c:v>
                </c:pt>
                <c:pt idx="31">
                  <c:v>13.949999999999992</c:v>
                </c:pt>
                <c:pt idx="32">
                  <c:v>14.399999999999991</c:v>
                </c:pt>
                <c:pt idx="33">
                  <c:v>14.849999999999991</c:v>
                </c:pt>
                <c:pt idx="34">
                  <c:v>15.29999999999999</c:v>
                </c:pt>
                <c:pt idx="35">
                  <c:v>15.749999999999989</c:v>
                </c:pt>
                <c:pt idx="36">
                  <c:v>16.199999999999989</c:v>
                </c:pt>
                <c:pt idx="37">
                  <c:v>16.649999999999988</c:v>
                </c:pt>
                <c:pt idx="38">
                  <c:v>17</c:v>
                </c:pt>
              </c:numCache>
            </c:numRef>
          </c:xVal>
          <c:yVal>
            <c:numRef>
              <c:f>'ZS2209-30'!$H$3:$H$49</c:f>
              <c:numCache>
                <c:formatCode>General</c:formatCode>
                <c:ptCount val="47"/>
                <c:pt idx="1">
                  <c:v>6365</c:v>
                </c:pt>
                <c:pt idx="2">
                  <c:v>6296.1724999999997</c:v>
                </c:pt>
                <c:pt idx="3">
                  <c:v>6227.3449999999993</c:v>
                </c:pt>
                <c:pt idx="4">
                  <c:v>6158.517499999999</c:v>
                </c:pt>
                <c:pt idx="5">
                  <c:v>6089.6899999999987</c:v>
                </c:pt>
                <c:pt idx="6">
                  <c:v>6020.8624999999984</c:v>
                </c:pt>
                <c:pt idx="7">
                  <c:v>5952.034999999998</c:v>
                </c:pt>
                <c:pt idx="8">
                  <c:v>5883.2074999999977</c:v>
                </c:pt>
                <c:pt idx="9">
                  <c:v>5814.3799999999974</c:v>
                </c:pt>
                <c:pt idx="10">
                  <c:v>5745.5524999999971</c:v>
                </c:pt>
                <c:pt idx="11">
                  <c:v>5676.7249999999967</c:v>
                </c:pt>
                <c:pt idx="12">
                  <c:v>5607.8974999999964</c:v>
                </c:pt>
                <c:pt idx="13">
                  <c:v>5539.0699999999961</c:v>
                </c:pt>
                <c:pt idx="14">
                  <c:v>5470.2424999999957</c:v>
                </c:pt>
                <c:pt idx="15">
                  <c:v>5401.4149999999954</c:v>
                </c:pt>
                <c:pt idx="16">
                  <c:v>5332.5874999999951</c:v>
                </c:pt>
                <c:pt idx="17">
                  <c:v>5263.7599999999948</c:v>
                </c:pt>
                <c:pt idx="18">
                  <c:v>5194.9324999999953</c:v>
                </c:pt>
                <c:pt idx="19">
                  <c:v>5126.1049999999959</c:v>
                </c:pt>
                <c:pt idx="20">
                  <c:v>5057.2774999999956</c:v>
                </c:pt>
                <c:pt idx="21">
                  <c:v>4988.4499999999962</c:v>
                </c:pt>
                <c:pt idx="22">
                  <c:v>4919.6224999999968</c:v>
                </c:pt>
                <c:pt idx="23">
                  <c:v>4850.7949999999973</c:v>
                </c:pt>
                <c:pt idx="24">
                  <c:v>4781.967499999997</c:v>
                </c:pt>
                <c:pt idx="25">
                  <c:v>4713.1399999999976</c:v>
                </c:pt>
                <c:pt idx="26">
                  <c:v>4644.3124999999982</c:v>
                </c:pt>
                <c:pt idx="27">
                  <c:v>4575.4849999999988</c:v>
                </c:pt>
                <c:pt idx="28">
                  <c:v>4506.6574999999984</c:v>
                </c:pt>
                <c:pt idx="29">
                  <c:v>4437.8299999999981</c:v>
                </c:pt>
                <c:pt idx="30">
                  <c:v>4369.0024999999987</c:v>
                </c:pt>
                <c:pt idx="31">
                  <c:v>4300.1749999999984</c:v>
                </c:pt>
                <c:pt idx="32">
                  <c:v>4231.3474999999989</c:v>
                </c:pt>
                <c:pt idx="33">
                  <c:v>4162.5199999999986</c:v>
                </c:pt>
                <c:pt idx="34">
                  <c:v>4093.6924999999987</c:v>
                </c:pt>
                <c:pt idx="35">
                  <c:v>4024.8649999999993</c:v>
                </c:pt>
                <c:pt idx="36">
                  <c:v>3956.0374999999995</c:v>
                </c:pt>
                <c:pt idx="37">
                  <c:v>3887.2099999999996</c:v>
                </c:pt>
                <c:pt idx="38">
                  <c:v>3833.677499999998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099200"/>
        <c:axId val="230097664"/>
      </c:scatterChart>
      <c:valAx>
        <c:axId val="23008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0083584"/>
        <c:crosses val="autoZero"/>
        <c:crossBetween val="midCat"/>
      </c:valAx>
      <c:valAx>
        <c:axId val="230083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0082048"/>
        <c:crosses val="autoZero"/>
        <c:crossBetween val="midCat"/>
      </c:valAx>
      <c:valAx>
        <c:axId val="2300976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30099200"/>
        <c:crosses val="max"/>
        <c:crossBetween val="midCat"/>
      </c:valAx>
      <c:valAx>
        <c:axId val="230099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300976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'ZS2209-30'!$G$2</c:f>
              <c:strCache>
                <c:ptCount val="1"/>
                <c:pt idx="0">
                  <c:v>有効トルク[Nm]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'ZS2209-30'!$H$3:$H$49</c:f>
              <c:numCache>
                <c:formatCode>General</c:formatCode>
                <c:ptCount val="47"/>
                <c:pt idx="1">
                  <c:v>6365</c:v>
                </c:pt>
                <c:pt idx="2">
                  <c:v>6296.1724999999997</c:v>
                </c:pt>
                <c:pt idx="3">
                  <c:v>6227.3449999999993</c:v>
                </c:pt>
                <c:pt idx="4">
                  <c:v>6158.517499999999</c:v>
                </c:pt>
                <c:pt idx="5">
                  <c:v>6089.6899999999987</c:v>
                </c:pt>
                <c:pt idx="6">
                  <c:v>6020.8624999999984</c:v>
                </c:pt>
                <c:pt idx="7">
                  <c:v>5952.034999999998</c:v>
                </c:pt>
                <c:pt idx="8">
                  <c:v>5883.2074999999977</c:v>
                </c:pt>
                <c:pt idx="9">
                  <c:v>5814.3799999999974</c:v>
                </c:pt>
                <c:pt idx="10">
                  <c:v>5745.5524999999971</c:v>
                </c:pt>
                <c:pt idx="11">
                  <c:v>5676.7249999999967</c:v>
                </c:pt>
                <c:pt idx="12">
                  <c:v>5607.8974999999964</c:v>
                </c:pt>
                <c:pt idx="13">
                  <c:v>5539.0699999999961</c:v>
                </c:pt>
                <c:pt idx="14">
                  <c:v>5470.2424999999957</c:v>
                </c:pt>
                <c:pt idx="15">
                  <c:v>5401.4149999999954</c:v>
                </c:pt>
                <c:pt idx="16">
                  <c:v>5332.5874999999951</c:v>
                </c:pt>
                <c:pt idx="17">
                  <c:v>5263.7599999999948</c:v>
                </c:pt>
                <c:pt idx="18">
                  <c:v>5194.9324999999953</c:v>
                </c:pt>
                <c:pt idx="19">
                  <c:v>5126.1049999999959</c:v>
                </c:pt>
                <c:pt idx="20">
                  <c:v>5057.2774999999956</c:v>
                </c:pt>
                <c:pt idx="21">
                  <c:v>4988.4499999999962</c:v>
                </c:pt>
                <c:pt idx="22">
                  <c:v>4919.6224999999968</c:v>
                </c:pt>
                <c:pt idx="23">
                  <c:v>4850.7949999999973</c:v>
                </c:pt>
                <c:pt idx="24">
                  <c:v>4781.967499999997</c:v>
                </c:pt>
                <c:pt idx="25">
                  <c:v>4713.1399999999976</c:v>
                </c:pt>
                <c:pt idx="26">
                  <c:v>4644.3124999999982</c:v>
                </c:pt>
                <c:pt idx="27">
                  <c:v>4575.4849999999988</c:v>
                </c:pt>
                <c:pt idx="28">
                  <c:v>4506.6574999999984</c:v>
                </c:pt>
                <c:pt idx="29">
                  <c:v>4437.8299999999981</c:v>
                </c:pt>
                <c:pt idx="30">
                  <c:v>4369.0024999999987</c:v>
                </c:pt>
                <c:pt idx="31">
                  <c:v>4300.1749999999984</c:v>
                </c:pt>
                <c:pt idx="32">
                  <c:v>4231.3474999999989</c:v>
                </c:pt>
                <c:pt idx="33">
                  <c:v>4162.5199999999986</c:v>
                </c:pt>
                <c:pt idx="34">
                  <c:v>4093.6924999999987</c:v>
                </c:pt>
                <c:pt idx="35">
                  <c:v>4024.8649999999993</c:v>
                </c:pt>
                <c:pt idx="36">
                  <c:v>3956.0374999999995</c:v>
                </c:pt>
                <c:pt idx="37">
                  <c:v>3887.2099999999996</c:v>
                </c:pt>
                <c:pt idx="38">
                  <c:v>3833.677499999998</c:v>
                </c:pt>
              </c:numCache>
            </c:numRef>
          </c:xVal>
          <c:yVal>
            <c:numRef>
              <c:f>'ZS2209-30'!$G$3:$G$49</c:f>
              <c:numCache>
                <c:formatCode>General</c:formatCode>
                <c:ptCount val="47"/>
                <c:pt idx="1">
                  <c:v>0</c:v>
                </c:pt>
                <c:pt idx="2">
                  <c:v>4.5233510141907103E-3</c:v>
                </c:pt>
                <c:pt idx="3">
                  <c:v>9.046702028381419E-3</c:v>
                </c:pt>
                <c:pt idx="4">
                  <c:v>1.3570053042572132E-2</c:v>
                </c:pt>
                <c:pt idx="5">
                  <c:v>1.8093404056762841E-2</c:v>
                </c:pt>
                <c:pt idx="6">
                  <c:v>2.2616755070953551E-2</c:v>
                </c:pt>
                <c:pt idx="7">
                  <c:v>2.714010608514426E-2</c:v>
                </c:pt>
                <c:pt idx="8">
                  <c:v>3.166345709933497E-2</c:v>
                </c:pt>
                <c:pt idx="9">
                  <c:v>3.6186808113525683E-2</c:v>
                </c:pt>
                <c:pt idx="10">
                  <c:v>4.0710159127716396E-2</c:v>
                </c:pt>
                <c:pt idx="11">
                  <c:v>4.5233510141907109E-2</c:v>
                </c:pt>
                <c:pt idx="12">
                  <c:v>4.9756861156097822E-2</c:v>
                </c:pt>
                <c:pt idx="13">
                  <c:v>5.4280212170288528E-2</c:v>
                </c:pt>
                <c:pt idx="14">
                  <c:v>5.8803563184479241E-2</c:v>
                </c:pt>
                <c:pt idx="15">
                  <c:v>6.3326914198669954E-2</c:v>
                </c:pt>
                <c:pt idx="16">
                  <c:v>6.7850265212860666E-2</c:v>
                </c:pt>
                <c:pt idx="17">
                  <c:v>7.2373616227051379E-2</c:v>
                </c:pt>
                <c:pt idx="18">
                  <c:v>7.6896967241242078E-2</c:v>
                </c:pt>
                <c:pt idx="19">
                  <c:v>8.1420318255432778E-2</c:v>
                </c:pt>
                <c:pt idx="20">
                  <c:v>8.5943669269623491E-2</c:v>
                </c:pt>
                <c:pt idx="21">
                  <c:v>9.046702028381419E-2</c:v>
                </c:pt>
                <c:pt idx="22">
                  <c:v>9.4990371298004889E-2</c:v>
                </c:pt>
                <c:pt idx="23">
                  <c:v>9.9513722312195588E-2</c:v>
                </c:pt>
                <c:pt idx="24">
                  <c:v>0.1040370733263863</c:v>
                </c:pt>
                <c:pt idx="25">
                  <c:v>0.108560424340577</c:v>
                </c:pt>
                <c:pt idx="26">
                  <c:v>0.1130837753547677</c:v>
                </c:pt>
                <c:pt idx="27">
                  <c:v>0.1176071263689584</c:v>
                </c:pt>
                <c:pt idx="28">
                  <c:v>0.12213047738314911</c:v>
                </c:pt>
                <c:pt idx="29">
                  <c:v>0.12665382839733982</c:v>
                </c:pt>
                <c:pt idx="30">
                  <c:v>0.13117717941153051</c:v>
                </c:pt>
                <c:pt idx="31">
                  <c:v>0.13570053042572122</c:v>
                </c:pt>
                <c:pt idx="32">
                  <c:v>0.14022388143991191</c:v>
                </c:pt>
                <c:pt idx="33">
                  <c:v>0.14474723245410262</c:v>
                </c:pt>
                <c:pt idx="34">
                  <c:v>0.14927058346829333</c:v>
                </c:pt>
                <c:pt idx="35">
                  <c:v>0.15379393448248402</c:v>
                </c:pt>
                <c:pt idx="36">
                  <c:v>0.15831728549667473</c:v>
                </c:pt>
                <c:pt idx="37">
                  <c:v>0.16284063651086544</c:v>
                </c:pt>
                <c:pt idx="38">
                  <c:v>0.16635879841079165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129024"/>
        <c:axId val="230143104"/>
      </c:scatterChart>
      <c:valAx>
        <c:axId val="23012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0143104"/>
        <c:crosses val="autoZero"/>
        <c:crossBetween val="midCat"/>
      </c:valAx>
      <c:valAx>
        <c:axId val="230143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0129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'Z2213-24'!$K$2</c:f>
              <c:strCache>
                <c:ptCount val="1"/>
                <c:pt idx="0">
                  <c:v>有効トルク[mNm]</c:v>
                </c:pt>
              </c:strCache>
            </c:strRef>
          </c:tx>
          <c:marker>
            <c:symbol val="none"/>
          </c:marker>
          <c:xVal>
            <c:numRef>
              <c:f>'Z2213-24'!$F$3:$F$49</c:f>
              <c:numCache>
                <c:formatCode>General</c:formatCode>
                <c:ptCount val="47"/>
                <c:pt idx="1">
                  <c:v>0.6</c:v>
                </c:pt>
                <c:pt idx="2">
                  <c:v>1.2</c:v>
                </c:pt>
                <c:pt idx="3">
                  <c:v>1.7999999999999998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5.3999999999999995</c:v>
                </c:pt>
                <c:pt idx="10">
                  <c:v>5.9999999999999991</c:v>
                </c:pt>
                <c:pt idx="11">
                  <c:v>6.5999999999999988</c:v>
                </c:pt>
                <c:pt idx="12">
                  <c:v>7.1999999999999984</c:v>
                </c:pt>
                <c:pt idx="13">
                  <c:v>7.799999999999998</c:v>
                </c:pt>
                <c:pt idx="14">
                  <c:v>8.3999999999999986</c:v>
                </c:pt>
                <c:pt idx="15">
                  <c:v>8.9999999999999982</c:v>
                </c:pt>
                <c:pt idx="16">
                  <c:v>9.5999999999999979</c:v>
                </c:pt>
                <c:pt idx="17">
                  <c:v>10.199999999999998</c:v>
                </c:pt>
                <c:pt idx="18">
                  <c:v>10.799999999999997</c:v>
                </c:pt>
                <c:pt idx="19">
                  <c:v>11.399999999999997</c:v>
                </c:pt>
                <c:pt idx="20">
                  <c:v>11.999999999999996</c:v>
                </c:pt>
                <c:pt idx="21">
                  <c:v>12.599999999999996</c:v>
                </c:pt>
                <c:pt idx="22">
                  <c:v>13.199999999999996</c:v>
                </c:pt>
                <c:pt idx="23">
                  <c:v>13.799999999999995</c:v>
                </c:pt>
                <c:pt idx="24">
                  <c:v>14.399999999999995</c:v>
                </c:pt>
                <c:pt idx="25">
                  <c:v>14.999999999999995</c:v>
                </c:pt>
                <c:pt idx="26">
                  <c:v>15.599999999999994</c:v>
                </c:pt>
                <c:pt idx="27">
                  <c:v>16</c:v>
                </c:pt>
              </c:numCache>
            </c:numRef>
          </c:xVal>
          <c:yVal>
            <c:numRef>
              <c:f>'Z2213-24'!$K$3:$K$49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6.740679942715567</c:v>
                </c:pt>
                <c:pt idx="3">
                  <c:v>13.481359885431132</c:v>
                </c:pt>
                <c:pt idx="4">
                  <c:v>20.222039828146702</c:v>
                </c:pt>
                <c:pt idx="5">
                  <c:v>26.962719770862268</c:v>
                </c:pt>
                <c:pt idx="6">
                  <c:v>33.703399713577845</c:v>
                </c:pt>
                <c:pt idx="7">
                  <c:v>40.444079656293411</c:v>
                </c:pt>
                <c:pt idx="8">
                  <c:v>47.184759599008977</c:v>
                </c:pt>
                <c:pt idx="9">
                  <c:v>53.925439541724536</c:v>
                </c:pt>
                <c:pt idx="10">
                  <c:v>60.666119484440095</c:v>
                </c:pt>
                <c:pt idx="11">
                  <c:v>67.406799427155661</c:v>
                </c:pt>
                <c:pt idx="12">
                  <c:v>74.14747936987122</c:v>
                </c:pt>
                <c:pt idx="13">
                  <c:v>80.888159312586794</c:v>
                </c:pt>
                <c:pt idx="14">
                  <c:v>87.628839255302367</c:v>
                </c:pt>
                <c:pt idx="15">
                  <c:v>94.369519198017926</c:v>
                </c:pt>
                <c:pt idx="16">
                  <c:v>101.11019914073349</c:v>
                </c:pt>
                <c:pt idx="17">
                  <c:v>107.85087908344904</c:v>
                </c:pt>
                <c:pt idx="18">
                  <c:v>114.5915590261646</c:v>
                </c:pt>
                <c:pt idx="19">
                  <c:v>121.33223896888018</c:v>
                </c:pt>
                <c:pt idx="20">
                  <c:v>128.07291891159576</c:v>
                </c:pt>
                <c:pt idx="21">
                  <c:v>134.81359885431129</c:v>
                </c:pt>
                <c:pt idx="22">
                  <c:v>141.55427879702685</c:v>
                </c:pt>
                <c:pt idx="23">
                  <c:v>148.29495873974244</c:v>
                </c:pt>
                <c:pt idx="24">
                  <c:v>155.03563868245797</c:v>
                </c:pt>
                <c:pt idx="25">
                  <c:v>161.77631862517356</c:v>
                </c:pt>
                <c:pt idx="26">
                  <c:v>168.51699856788912</c:v>
                </c:pt>
                <c:pt idx="27">
                  <c:v>173.01078519636624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'Z2213-24'!$J$2</c:f>
              <c:strCache>
                <c:ptCount val="1"/>
                <c:pt idx="0">
                  <c:v>効率[%]</c:v>
                </c:pt>
              </c:strCache>
            </c:strRef>
          </c:tx>
          <c:marker>
            <c:symbol val="none"/>
          </c:marker>
          <c:xVal>
            <c:numRef>
              <c:f>'Z2213-24'!$F$3:$F$49</c:f>
              <c:numCache>
                <c:formatCode>General</c:formatCode>
                <c:ptCount val="47"/>
                <c:pt idx="1">
                  <c:v>0.6</c:v>
                </c:pt>
                <c:pt idx="2">
                  <c:v>1.2</c:v>
                </c:pt>
                <c:pt idx="3">
                  <c:v>1.7999999999999998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5.3999999999999995</c:v>
                </c:pt>
                <c:pt idx="10">
                  <c:v>5.9999999999999991</c:v>
                </c:pt>
                <c:pt idx="11">
                  <c:v>6.5999999999999988</c:v>
                </c:pt>
                <c:pt idx="12">
                  <c:v>7.1999999999999984</c:v>
                </c:pt>
                <c:pt idx="13">
                  <c:v>7.799999999999998</c:v>
                </c:pt>
                <c:pt idx="14">
                  <c:v>8.3999999999999986</c:v>
                </c:pt>
                <c:pt idx="15">
                  <c:v>8.9999999999999982</c:v>
                </c:pt>
                <c:pt idx="16">
                  <c:v>9.5999999999999979</c:v>
                </c:pt>
                <c:pt idx="17">
                  <c:v>10.199999999999998</c:v>
                </c:pt>
                <c:pt idx="18">
                  <c:v>10.799999999999997</c:v>
                </c:pt>
                <c:pt idx="19">
                  <c:v>11.399999999999997</c:v>
                </c:pt>
                <c:pt idx="20">
                  <c:v>11.999999999999996</c:v>
                </c:pt>
                <c:pt idx="21">
                  <c:v>12.599999999999996</c:v>
                </c:pt>
                <c:pt idx="22">
                  <c:v>13.199999999999996</c:v>
                </c:pt>
                <c:pt idx="23">
                  <c:v>13.799999999999995</c:v>
                </c:pt>
                <c:pt idx="24">
                  <c:v>14.399999999999995</c:v>
                </c:pt>
                <c:pt idx="25">
                  <c:v>14.999999999999995</c:v>
                </c:pt>
                <c:pt idx="26">
                  <c:v>15.599999999999994</c:v>
                </c:pt>
                <c:pt idx="27">
                  <c:v>16</c:v>
                </c:pt>
              </c:numCache>
            </c:numRef>
          </c:xVal>
          <c:yVal>
            <c:numRef>
              <c:f>'Z2213-24'!$J$3:$J$49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49.395522388059703</c:v>
                </c:pt>
                <c:pt idx="3">
                  <c:v>65.054726368159194</c:v>
                </c:pt>
                <c:pt idx="4">
                  <c:v>72.27985074626865</c:v>
                </c:pt>
                <c:pt idx="5">
                  <c:v>76.131343283582069</c:v>
                </c:pt>
                <c:pt idx="6">
                  <c:v>78.296019900497512</c:v>
                </c:pt>
                <c:pt idx="7">
                  <c:v>79.496801705756894</c:v>
                </c:pt>
                <c:pt idx="8">
                  <c:v>80.095149253731307</c:v>
                </c:pt>
                <c:pt idx="9">
                  <c:v>80.291873963515698</c:v>
                </c:pt>
                <c:pt idx="10">
                  <c:v>80.207462686567126</c:v>
                </c:pt>
                <c:pt idx="11">
                  <c:v>79.918588873812695</c:v>
                </c:pt>
                <c:pt idx="12">
                  <c:v>79.476368159203943</c:v>
                </c:pt>
                <c:pt idx="13">
                  <c:v>78.916188289322577</c:v>
                </c:pt>
                <c:pt idx="14">
                  <c:v>78.263326226012737</c:v>
                </c:pt>
                <c:pt idx="15">
                  <c:v>77.536318407960152</c:v>
                </c:pt>
                <c:pt idx="16">
                  <c:v>76.749067164179067</c:v>
                </c:pt>
                <c:pt idx="17">
                  <c:v>75.912203687445086</c:v>
                </c:pt>
                <c:pt idx="18">
                  <c:v>75.033996683250379</c:v>
                </c:pt>
                <c:pt idx="19">
                  <c:v>74.120974076983472</c:v>
                </c:pt>
                <c:pt idx="20">
                  <c:v>73.178358208955189</c:v>
                </c:pt>
                <c:pt idx="21">
                  <c:v>72.2103766879886</c:v>
                </c:pt>
                <c:pt idx="22">
                  <c:v>71.220488466757075</c:v>
                </c:pt>
                <c:pt idx="23">
                  <c:v>70.211550940947404</c:v>
                </c:pt>
                <c:pt idx="24">
                  <c:v>69.185945273631788</c:v>
                </c:pt>
                <c:pt idx="25">
                  <c:v>68.145671641791012</c:v>
                </c:pt>
                <c:pt idx="26">
                  <c:v>67.092422502870235</c:v>
                </c:pt>
                <c:pt idx="27">
                  <c:v>66.383768656716384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86560"/>
        <c:axId val="210792448"/>
      </c:scatterChart>
      <c:scatterChart>
        <c:scatterStyle val="smoothMarker"/>
        <c:varyColors val="0"/>
        <c:ser>
          <c:idx val="1"/>
          <c:order val="1"/>
          <c:tx>
            <c:strRef>
              <c:f>'Z2213-24'!$H$2</c:f>
              <c:strCache>
                <c:ptCount val="1"/>
                <c:pt idx="0">
                  <c:v>回転数[rpm]</c:v>
                </c:pt>
              </c:strCache>
            </c:strRef>
          </c:tx>
          <c:marker>
            <c:symbol val="none"/>
          </c:marker>
          <c:xVal>
            <c:numRef>
              <c:f>'Z2213-24'!$F$3:$F$49</c:f>
              <c:numCache>
                <c:formatCode>General</c:formatCode>
                <c:ptCount val="47"/>
                <c:pt idx="1">
                  <c:v>0.6</c:v>
                </c:pt>
                <c:pt idx="2">
                  <c:v>1.2</c:v>
                </c:pt>
                <c:pt idx="3">
                  <c:v>1.7999999999999998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5.3999999999999995</c:v>
                </c:pt>
                <c:pt idx="10">
                  <c:v>5.9999999999999991</c:v>
                </c:pt>
                <c:pt idx="11">
                  <c:v>6.5999999999999988</c:v>
                </c:pt>
                <c:pt idx="12">
                  <c:v>7.1999999999999984</c:v>
                </c:pt>
                <c:pt idx="13">
                  <c:v>7.799999999999998</c:v>
                </c:pt>
                <c:pt idx="14">
                  <c:v>8.3999999999999986</c:v>
                </c:pt>
                <c:pt idx="15">
                  <c:v>8.9999999999999982</c:v>
                </c:pt>
                <c:pt idx="16">
                  <c:v>9.5999999999999979</c:v>
                </c:pt>
                <c:pt idx="17">
                  <c:v>10.199999999999998</c:v>
                </c:pt>
                <c:pt idx="18">
                  <c:v>10.799999999999997</c:v>
                </c:pt>
                <c:pt idx="19">
                  <c:v>11.399999999999997</c:v>
                </c:pt>
                <c:pt idx="20">
                  <c:v>11.999999999999996</c:v>
                </c:pt>
                <c:pt idx="21">
                  <c:v>12.599999999999996</c:v>
                </c:pt>
                <c:pt idx="22">
                  <c:v>13.199999999999996</c:v>
                </c:pt>
                <c:pt idx="23">
                  <c:v>13.799999999999995</c:v>
                </c:pt>
                <c:pt idx="24">
                  <c:v>14.399999999999995</c:v>
                </c:pt>
                <c:pt idx="25">
                  <c:v>14.999999999999995</c:v>
                </c:pt>
                <c:pt idx="26">
                  <c:v>15.599999999999994</c:v>
                </c:pt>
                <c:pt idx="27">
                  <c:v>16</c:v>
                </c:pt>
              </c:numCache>
            </c:numRef>
          </c:xVal>
          <c:yVal>
            <c:numRef>
              <c:f>'Z2213-24'!$H$3:$H$49</c:f>
              <c:numCache>
                <c:formatCode>General</c:formatCode>
                <c:ptCount val="47"/>
                <c:pt idx="1">
                  <c:v>5695</c:v>
                </c:pt>
                <c:pt idx="2">
                  <c:v>5626.15</c:v>
                </c:pt>
                <c:pt idx="3">
                  <c:v>5557.2999999999993</c:v>
                </c:pt>
                <c:pt idx="4">
                  <c:v>5488.4499999999989</c:v>
                </c:pt>
                <c:pt idx="5">
                  <c:v>5419.5999999999985</c:v>
                </c:pt>
                <c:pt idx="6">
                  <c:v>5350.7499999999982</c:v>
                </c:pt>
                <c:pt idx="7">
                  <c:v>5281.8999999999978</c:v>
                </c:pt>
                <c:pt idx="8">
                  <c:v>5213.0499999999975</c:v>
                </c:pt>
                <c:pt idx="9">
                  <c:v>5144.1999999999971</c:v>
                </c:pt>
                <c:pt idx="10">
                  <c:v>5075.3499999999976</c:v>
                </c:pt>
                <c:pt idx="11">
                  <c:v>5006.4999999999973</c:v>
                </c:pt>
                <c:pt idx="12">
                  <c:v>4937.6499999999978</c:v>
                </c:pt>
                <c:pt idx="13">
                  <c:v>4868.7999999999975</c:v>
                </c:pt>
                <c:pt idx="14">
                  <c:v>4799.9499999999971</c:v>
                </c:pt>
                <c:pt idx="15">
                  <c:v>4731.0999999999976</c:v>
                </c:pt>
                <c:pt idx="16">
                  <c:v>4662.2499999999982</c:v>
                </c:pt>
                <c:pt idx="17">
                  <c:v>4593.3999999999978</c:v>
                </c:pt>
                <c:pt idx="18">
                  <c:v>4524.5499999999984</c:v>
                </c:pt>
                <c:pt idx="19">
                  <c:v>4455.699999999998</c:v>
                </c:pt>
                <c:pt idx="20">
                  <c:v>4386.8499999999976</c:v>
                </c:pt>
                <c:pt idx="21">
                  <c:v>4317.9999999999982</c:v>
                </c:pt>
                <c:pt idx="22">
                  <c:v>4249.1499999999978</c:v>
                </c:pt>
                <c:pt idx="23">
                  <c:v>4180.2999999999975</c:v>
                </c:pt>
                <c:pt idx="24">
                  <c:v>4111.449999999998</c:v>
                </c:pt>
                <c:pt idx="25">
                  <c:v>4042.5999999999981</c:v>
                </c:pt>
                <c:pt idx="26">
                  <c:v>3973.7499999999982</c:v>
                </c:pt>
                <c:pt idx="27">
                  <c:v>3927.8499999999976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95520"/>
        <c:axId val="210793984"/>
      </c:scatterChart>
      <c:valAx>
        <c:axId val="21078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0792448"/>
        <c:crosses val="autoZero"/>
        <c:crossBetween val="midCat"/>
      </c:valAx>
      <c:valAx>
        <c:axId val="210792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786560"/>
        <c:crosses val="autoZero"/>
        <c:crossBetween val="midCat"/>
      </c:valAx>
      <c:valAx>
        <c:axId val="2107939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10795520"/>
        <c:crosses val="max"/>
        <c:crossBetween val="midCat"/>
      </c:valAx>
      <c:valAx>
        <c:axId val="210795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107939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'Z2213-24'!$G$2</c:f>
              <c:strCache>
                <c:ptCount val="1"/>
                <c:pt idx="0">
                  <c:v>有効トルク[Nm]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'Z2213-24'!$H$3:$H$49</c:f>
              <c:numCache>
                <c:formatCode>General</c:formatCode>
                <c:ptCount val="47"/>
                <c:pt idx="1">
                  <c:v>5695</c:v>
                </c:pt>
                <c:pt idx="2">
                  <c:v>5626.15</c:v>
                </c:pt>
                <c:pt idx="3">
                  <c:v>5557.2999999999993</c:v>
                </c:pt>
                <c:pt idx="4">
                  <c:v>5488.4499999999989</c:v>
                </c:pt>
                <c:pt idx="5">
                  <c:v>5419.5999999999985</c:v>
                </c:pt>
                <c:pt idx="6">
                  <c:v>5350.7499999999982</c:v>
                </c:pt>
                <c:pt idx="7">
                  <c:v>5281.8999999999978</c:v>
                </c:pt>
                <c:pt idx="8">
                  <c:v>5213.0499999999975</c:v>
                </c:pt>
                <c:pt idx="9">
                  <c:v>5144.1999999999971</c:v>
                </c:pt>
                <c:pt idx="10">
                  <c:v>5075.3499999999976</c:v>
                </c:pt>
                <c:pt idx="11">
                  <c:v>5006.4999999999973</c:v>
                </c:pt>
                <c:pt idx="12">
                  <c:v>4937.6499999999978</c:v>
                </c:pt>
                <c:pt idx="13">
                  <c:v>4868.7999999999975</c:v>
                </c:pt>
                <c:pt idx="14">
                  <c:v>4799.9499999999971</c:v>
                </c:pt>
                <c:pt idx="15">
                  <c:v>4731.0999999999976</c:v>
                </c:pt>
                <c:pt idx="16">
                  <c:v>4662.2499999999982</c:v>
                </c:pt>
                <c:pt idx="17">
                  <c:v>4593.3999999999978</c:v>
                </c:pt>
                <c:pt idx="18">
                  <c:v>4524.5499999999984</c:v>
                </c:pt>
                <c:pt idx="19">
                  <c:v>4455.699999999998</c:v>
                </c:pt>
                <c:pt idx="20">
                  <c:v>4386.8499999999976</c:v>
                </c:pt>
                <c:pt idx="21">
                  <c:v>4317.9999999999982</c:v>
                </c:pt>
                <c:pt idx="22">
                  <c:v>4249.1499999999978</c:v>
                </c:pt>
                <c:pt idx="23">
                  <c:v>4180.2999999999975</c:v>
                </c:pt>
                <c:pt idx="24">
                  <c:v>4111.449999999998</c:v>
                </c:pt>
                <c:pt idx="25">
                  <c:v>4042.5999999999981</c:v>
                </c:pt>
                <c:pt idx="26">
                  <c:v>3973.7499999999982</c:v>
                </c:pt>
                <c:pt idx="27">
                  <c:v>3927.8499999999976</c:v>
                </c:pt>
              </c:numCache>
            </c:numRef>
          </c:xVal>
          <c:yVal>
            <c:numRef>
              <c:f>'Z2213-24'!$G$3:$G$49</c:f>
              <c:numCache>
                <c:formatCode>General</c:formatCode>
                <c:ptCount val="47"/>
                <c:pt idx="1">
                  <c:v>0</c:v>
                </c:pt>
                <c:pt idx="2">
                  <c:v>6.7406799427155674E-3</c:v>
                </c:pt>
                <c:pt idx="3">
                  <c:v>1.3481359885431133E-2</c:v>
                </c:pt>
                <c:pt idx="4">
                  <c:v>2.0222039828146701E-2</c:v>
                </c:pt>
                <c:pt idx="5">
                  <c:v>2.6962719770862269E-2</c:v>
                </c:pt>
                <c:pt idx="6">
                  <c:v>3.3703399713577845E-2</c:v>
                </c:pt>
                <c:pt idx="7">
                  <c:v>4.0444079656293409E-2</c:v>
                </c:pt>
                <c:pt idx="8">
                  <c:v>4.7184759599008974E-2</c:v>
                </c:pt>
                <c:pt idx="9">
                  <c:v>5.3925439541724539E-2</c:v>
                </c:pt>
                <c:pt idx="10">
                  <c:v>6.0666119484440097E-2</c:v>
                </c:pt>
                <c:pt idx="11">
                  <c:v>6.7406799427155661E-2</c:v>
                </c:pt>
                <c:pt idx="12">
                  <c:v>7.4147479369871219E-2</c:v>
                </c:pt>
                <c:pt idx="13">
                  <c:v>8.0888159312586791E-2</c:v>
                </c:pt>
                <c:pt idx="14">
                  <c:v>8.7628839255302363E-2</c:v>
                </c:pt>
                <c:pt idx="15">
                  <c:v>9.436951919801792E-2</c:v>
                </c:pt>
                <c:pt idx="16">
                  <c:v>0.10111019914073348</c:v>
                </c:pt>
                <c:pt idx="17">
                  <c:v>0.10785087908344905</c:v>
                </c:pt>
                <c:pt idx="18">
                  <c:v>0.11459155902616461</c:v>
                </c:pt>
                <c:pt idx="19">
                  <c:v>0.12133223896888018</c:v>
                </c:pt>
                <c:pt idx="20">
                  <c:v>0.12807291891159575</c:v>
                </c:pt>
                <c:pt idx="21">
                  <c:v>0.1348135988543113</c:v>
                </c:pt>
                <c:pt idx="22">
                  <c:v>0.14155427879702687</c:v>
                </c:pt>
                <c:pt idx="23">
                  <c:v>0.14829495873974244</c:v>
                </c:pt>
                <c:pt idx="24">
                  <c:v>0.15503563868245798</c:v>
                </c:pt>
                <c:pt idx="25">
                  <c:v>0.16177631862517355</c:v>
                </c:pt>
                <c:pt idx="26">
                  <c:v>0.16851699856788913</c:v>
                </c:pt>
                <c:pt idx="27">
                  <c:v>0.17301078519636623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99328"/>
        <c:axId val="210900864"/>
      </c:scatterChart>
      <c:valAx>
        <c:axId val="21089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0900864"/>
        <c:crosses val="autoZero"/>
        <c:crossBetween val="midCat"/>
      </c:valAx>
      <c:valAx>
        <c:axId val="210900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899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'Z2209-32'!$K$2</c:f>
              <c:strCache>
                <c:ptCount val="1"/>
                <c:pt idx="0">
                  <c:v>有効トルク[mNm]</c:v>
                </c:pt>
              </c:strCache>
            </c:strRef>
          </c:tx>
          <c:marker>
            <c:symbol val="none"/>
          </c:marker>
          <c:xVal>
            <c:numRef>
              <c:f>'Z2209-32'!$F$3:$F$49</c:f>
              <c:numCache>
                <c:formatCode>General</c:formatCode>
                <c:ptCount val="47"/>
                <c:pt idx="1">
                  <c:v>0.55000000000000004</c:v>
                </c:pt>
                <c:pt idx="2">
                  <c:v>1.1000000000000001</c:v>
                </c:pt>
                <c:pt idx="3">
                  <c:v>1.6500000000000001</c:v>
                </c:pt>
                <c:pt idx="4">
                  <c:v>2.2000000000000002</c:v>
                </c:pt>
                <c:pt idx="5">
                  <c:v>2.75</c:v>
                </c:pt>
                <c:pt idx="6">
                  <c:v>3.3</c:v>
                </c:pt>
                <c:pt idx="7">
                  <c:v>3.8499999999999996</c:v>
                </c:pt>
                <c:pt idx="8">
                  <c:v>4.3999999999999995</c:v>
                </c:pt>
                <c:pt idx="9">
                  <c:v>4.9499999999999993</c:v>
                </c:pt>
                <c:pt idx="10">
                  <c:v>5.4999999999999991</c:v>
                </c:pt>
                <c:pt idx="11">
                  <c:v>6.0499999999999989</c:v>
                </c:pt>
                <c:pt idx="12">
                  <c:v>6.5999999999999988</c:v>
                </c:pt>
                <c:pt idx="13">
                  <c:v>7.1499999999999986</c:v>
                </c:pt>
                <c:pt idx="14">
                  <c:v>7.6999999999999984</c:v>
                </c:pt>
                <c:pt idx="15">
                  <c:v>8.2499999999999982</c:v>
                </c:pt>
                <c:pt idx="16">
                  <c:v>8.7999999999999989</c:v>
                </c:pt>
                <c:pt idx="17">
                  <c:v>9.35</c:v>
                </c:pt>
                <c:pt idx="18">
                  <c:v>9.9</c:v>
                </c:pt>
                <c:pt idx="19">
                  <c:v>10.450000000000001</c:v>
                </c:pt>
                <c:pt idx="20">
                  <c:v>11.000000000000002</c:v>
                </c:pt>
                <c:pt idx="21">
                  <c:v>11.550000000000002</c:v>
                </c:pt>
                <c:pt idx="22">
                  <c:v>12</c:v>
                </c:pt>
              </c:numCache>
            </c:numRef>
          </c:xVal>
          <c:yVal>
            <c:numRef>
              <c:f>'Z2209-32'!$K$3:$K$49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5.771552881354447</c:v>
                </c:pt>
                <c:pt idx="3">
                  <c:v>11.543105762708894</c:v>
                </c:pt>
                <c:pt idx="4">
                  <c:v>17.314658644063343</c:v>
                </c:pt>
                <c:pt idx="5">
                  <c:v>23.086211525417788</c:v>
                </c:pt>
                <c:pt idx="6">
                  <c:v>28.857764406772233</c:v>
                </c:pt>
                <c:pt idx="7">
                  <c:v>34.629317288126678</c:v>
                </c:pt>
                <c:pt idx="8">
                  <c:v>40.400870169481124</c:v>
                </c:pt>
                <c:pt idx="9">
                  <c:v>46.172423050835569</c:v>
                </c:pt>
                <c:pt idx="10">
                  <c:v>51.943975932190007</c:v>
                </c:pt>
                <c:pt idx="11">
                  <c:v>57.715528813544459</c:v>
                </c:pt>
                <c:pt idx="12">
                  <c:v>63.487081694898905</c:v>
                </c:pt>
                <c:pt idx="13">
                  <c:v>69.258634576253357</c:v>
                </c:pt>
                <c:pt idx="14">
                  <c:v>75.030187457607795</c:v>
                </c:pt>
                <c:pt idx="15">
                  <c:v>80.801740338962233</c:v>
                </c:pt>
                <c:pt idx="16">
                  <c:v>86.573293220316685</c:v>
                </c:pt>
                <c:pt idx="17">
                  <c:v>92.344846101671138</c:v>
                </c:pt>
                <c:pt idx="18">
                  <c:v>98.116398983025604</c:v>
                </c:pt>
                <c:pt idx="19">
                  <c:v>103.88795186438004</c:v>
                </c:pt>
                <c:pt idx="20">
                  <c:v>109.65950474573451</c:v>
                </c:pt>
                <c:pt idx="21">
                  <c:v>115.43105762708895</c:v>
                </c:pt>
                <c:pt idx="22">
                  <c:v>120.15323725728803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'Z2209-32'!$J$2</c:f>
              <c:strCache>
                <c:ptCount val="1"/>
                <c:pt idx="0">
                  <c:v>効率[%]</c:v>
                </c:pt>
              </c:strCache>
            </c:strRef>
          </c:tx>
          <c:marker>
            <c:symbol val="none"/>
          </c:marker>
          <c:xVal>
            <c:numRef>
              <c:f>'Z2209-32'!$F$3:$F$49</c:f>
              <c:numCache>
                <c:formatCode>General</c:formatCode>
                <c:ptCount val="47"/>
                <c:pt idx="1">
                  <c:v>0.55000000000000004</c:v>
                </c:pt>
                <c:pt idx="2">
                  <c:v>1.1000000000000001</c:v>
                </c:pt>
                <c:pt idx="3">
                  <c:v>1.6500000000000001</c:v>
                </c:pt>
                <c:pt idx="4">
                  <c:v>2.2000000000000002</c:v>
                </c:pt>
                <c:pt idx="5">
                  <c:v>2.75</c:v>
                </c:pt>
                <c:pt idx="6">
                  <c:v>3.3</c:v>
                </c:pt>
                <c:pt idx="7">
                  <c:v>3.8499999999999996</c:v>
                </c:pt>
                <c:pt idx="8">
                  <c:v>4.3999999999999995</c:v>
                </c:pt>
                <c:pt idx="9">
                  <c:v>4.9499999999999993</c:v>
                </c:pt>
                <c:pt idx="10">
                  <c:v>5.4999999999999991</c:v>
                </c:pt>
                <c:pt idx="11">
                  <c:v>6.0499999999999989</c:v>
                </c:pt>
                <c:pt idx="12">
                  <c:v>6.5999999999999988</c:v>
                </c:pt>
                <c:pt idx="13">
                  <c:v>7.1499999999999986</c:v>
                </c:pt>
                <c:pt idx="14">
                  <c:v>7.6999999999999984</c:v>
                </c:pt>
                <c:pt idx="15">
                  <c:v>8.2499999999999982</c:v>
                </c:pt>
                <c:pt idx="16">
                  <c:v>8.7999999999999989</c:v>
                </c:pt>
                <c:pt idx="17">
                  <c:v>9.35</c:v>
                </c:pt>
                <c:pt idx="18">
                  <c:v>9.9</c:v>
                </c:pt>
                <c:pt idx="19">
                  <c:v>10.450000000000001</c:v>
                </c:pt>
                <c:pt idx="20">
                  <c:v>11.000000000000002</c:v>
                </c:pt>
                <c:pt idx="21">
                  <c:v>11.550000000000002</c:v>
                </c:pt>
                <c:pt idx="22">
                  <c:v>12</c:v>
                </c:pt>
              </c:numCache>
            </c:numRef>
          </c:xVal>
          <c:yVal>
            <c:numRef>
              <c:f>'Z2209-32'!$J$3:$J$49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49.261194029850749</c:v>
                </c:pt>
                <c:pt idx="3">
                  <c:v>64.696517412935322</c:v>
                </c:pt>
                <c:pt idx="4">
                  <c:v>71.675373134328353</c:v>
                </c:pt>
                <c:pt idx="5">
                  <c:v>75.271641791044772</c:v>
                </c:pt>
                <c:pt idx="6">
                  <c:v>77.176616915422883</c:v>
                </c:pt>
                <c:pt idx="7">
                  <c:v>78.115138592750526</c:v>
                </c:pt>
                <c:pt idx="8">
                  <c:v>78.449626865671647</c:v>
                </c:pt>
                <c:pt idx="9">
                  <c:v>78.381426202321705</c:v>
                </c:pt>
                <c:pt idx="10">
                  <c:v>78.031343283582075</c:v>
                </c:pt>
                <c:pt idx="11">
                  <c:v>77.476255088195373</c:v>
                </c:pt>
                <c:pt idx="12">
                  <c:v>76.767412935323364</c:v>
                </c:pt>
                <c:pt idx="13">
                  <c:v>75.940298507462657</c:v>
                </c:pt>
                <c:pt idx="14">
                  <c:v>75.020255863539433</c:v>
                </c:pt>
                <c:pt idx="15">
                  <c:v>74.025870646766151</c:v>
                </c:pt>
                <c:pt idx="16">
                  <c:v>72.971082089552212</c:v>
                </c:pt>
                <c:pt idx="17">
                  <c:v>71.866549604916557</c:v>
                </c:pt>
                <c:pt idx="18">
                  <c:v>70.720563847429503</c:v>
                </c:pt>
                <c:pt idx="19">
                  <c:v>69.539670070699088</c:v>
                </c:pt>
                <c:pt idx="20">
                  <c:v>68.329104477611907</c:v>
                </c:pt>
                <c:pt idx="21">
                  <c:v>67.093105899076008</c:v>
                </c:pt>
                <c:pt idx="22">
                  <c:v>66.065360696517359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842688"/>
        <c:axId val="249848576"/>
      </c:scatterChart>
      <c:scatterChart>
        <c:scatterStyle val="smoothMarker"/>
        <c:varyColors val="0"/>
        <c:ser>
          <c:idx val="1"/>
          <c:order val="1"/>
          <c:tx>
            <c:strRef>
              <c:f>'Z2209-32'!$H$2</c:f>
              <c:strCache>
                <c:ptCount val="1"/>
                <c:pt idx="0">
                  <c:v>回転数[rpm]</c:v>
                </c:pt>
              </c:strCache>
            </c:strRef>
          </c:tx>
          <c:marker>
            <c:symbol val="none"/>
          </c:marker>
          <c:xVal>
            <c:numRef>
              <c:f>'Z2209-32'!$F$3:$F$49</c:f>
              <c:numCache>
                <c:formatCode>General</c:formatCode>
                <c:ptCount val="47"/>
                <c:pt idx="1">
                  <c:v>0.55000000000000004</c:v>
                </c:pt>
                <c:pt idx="2">
                  <c:v>1.1000000000000001</c:v>
                </c:pt>
                <c:pt idx="3">
                  <c:v>1.6500000000000001</c:v>
                </c:pt>
                <c:pt idx="4">
                  <c:v>2.2000000000000002</c:v>
                </c:pt>
                <c:pt idx="5">
                  <c:v>2.75</c:v>
                </c:pt>
                <c:pt idx="6">
                  <c:v>3.3</c:v>
                </c:pt>
                <c:pt idx="7">
                  <c:v>3.8499999999999996</c:v>
                </c:pt>
                <c:pt idx="8">
                  <c:v>4.3999999999999995</c:v>
                </c:pt>
                <c:pt idx="9">
                  <c:v>4.9499999999999993</c:v>
                </c:pt>
                <c:pt idx="10">
                  <c:v>5.4999999999999991</c:v>
                </c:pt>
                <c:pt idx="11">
                  <c:v>6.0499999999999989</c:v>
                </c:pt>
                <c:pt idx="12">
                  <c:v>6.5999999999999988</c:v>
                </c:pt>
                <c:pt idx="13">
                  <c:v>7.1499999999999986</c:v>
                </c:pt>
                <c:pt idx="14">
                  <c:v>7.6999999999999984</c:v>
                </c:pt>
                <c:pt idx="15">
                  <c:v>8.2499999999999982</c:v>
                </c:pt>
                <c:pt idx="16">
                  <c:v>8.7999999999999989</c:v>
                </c:pt>
                <c:pt idx="17">
                  <c:v>9.35</c:v>
                </c:pt>
                <c:pt idx="18">
                  <c:v>9.9</c:v>
                </c:pt>
                <c:pt idx="19">
                  <c:v>10.450000000000001</c:v>
                </c:pt>
                <c:pt idx="20">
                  <c:v>11.000000000000002</c:v>
                </c:pt>
                <c:pt idx="21">
                  <c:v>11.550000000000002</c:v>
                </c:pt>
                <c:pt idx="22">
                  <c:v>12</c:v>
                </c:pt>
              </c:numCache>
            </c:numRef>
          </c:xVal>
          <c:yVal>
            <c:numRef>
              <c:f>'Z2209-32'!$H$3:$H$49</c:f>
              <c:numCache>
                <c:formatCode>General</c:formatCode>
                <c:ptCount val="47"/>
                <c:pt idx="1">
                  <c:v>6097</c:v>
                </c:pt>
                <c:pt idx="2">
                  <c:v>6006.91</c:v>
                </c:pt>
                <c:pt idx="3">
                  <c:v>5916.82</c:v>
                </c:pt>
                <c:pt idx="4">
                  <c:v>5826.73</c:v>
                </c:pt>
                <c:pt idx="5">
                  <c:v>5736.6399999999994</c:v>
                </c:pt>
                <c:pt idx="6">
                  <c:v>5646.5499999999993</c:v>
                </c:pt>
                <c:pt idx="7">
                  <c:v>5556.4599999999991</c:v>
                </c:pt>
                <c:pt idx="8">
                  <c:v>5466.369999999999</c:v>
                </c:pt>
                <c:pt idx="9">
                  <c:v>5376.2799999999988</c:v>
                </c:pt>
                <c:pt idx="10">
                  <c:v>5286.1899999999987</c:v>
                </c:pt>
                <c:pt idx="11">
                  <c:v>5196.0999999999985</c:v>
                </c:pt>
                <c:pt idx="12">
                  <c:v>5106.0099999999984</c:v>
                </c:pt>
                <c:pt idx="13">
                  <c:v>5015.9199999999983</c:v>
                </c:pt>
                <c:pt idx="14">
                  <c:v>4925.8299999999981</c:v>
                </c:pt>
                <c:pt idx="15">
                  <c:v>4835.739999999998</c:v>
                </c:pt>
                <c:pt idx="16">
                  <c:v>4745.6499999999978</c:v>
                </c:pt>
                <c:pt idx="17">
                  <c:v>4655.5599999999977</c:v>
                </c:pt>
                <c:pt idx="18">
                  <c:v>4565.4699999999975</c:v>
                </c:pt>
                <c:pt idx="19">
                  <c:v>4475.3799999999974</c:v>
                </c:pt>
                <c:pt idx="20">
                  <c:v>4385.2899999999972</c:v>
                </c:pt>
                <c:pt idx="21">
                  <c:v>4295.1999999999971</c:v>
                </c:pt>
                <c:pt idx="22">
                  <c:v>4221.4899999999971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856000"/>
        <c:axId val="249850112"/>
      </c:scatterChart>
      <c:valAx>
        <c:axId val="24984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9848576"/>
        <c:crosses val="autoZero"/>
        <c:crossBetween val="midCat"/>
      </c:valAx>
      <c:valAx>
        <c:axId val="249848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9842688"/>
        <c:crosses val="autoZero"/>
        <c:crossBetween val="midCat"/>
      </c:valAx>
      <c:valAx>
        <c:axId val="2498501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49856000"/>
        <c:crosses val="max"/>
        <c:crossBetween val="midCat"/>
      </c:valAx>
      <c:valAx>
        <c:axId val="249856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49850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'Z2209-32'!$G$2</c:f>
              <c:strCache>
                <c:ptCount val="1"/>
                <c:pt idx="0">
                  <c:v>有効トルク[Nm]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'Z2209-32'!$H$3:$H$49</c:f>
              <c:numCache>
                <c:formatCode>General</c:formatCode>
                <c:ptCount val="47"/>
                <c:pt idx="1">
                  <c:v>6097</c:v>
                </c:pt>
                <c:pt idx="2">
                  <c:v>6006.91</c:v>
                </c:pt>
                <c:pt idx="3">
                  <c:v>5916.82</c:v>
                </c:pt>
                <c:pt idx="4">
                  <c:v>5826.73</c:v>
                </c:pt>
                <c:pt idx="5">
                  <c:v>5736.6399999999994</c:v>
                </c:pt>
                <c:pt idx="6">
                  <c:v>5646.5499999999993</c:v>
                </c:pt>
                <c:pt idx="7">
                  <c:v>5556.4599999999991</c:v>
                </c:pt>
                <c:pt idx="8">
                  <c:v>5466.369999999999</c:v>
                </c:pt>
                <c:pt idx="9">
                  <c:v>5376.2799999999988</c:v>
                </c:pt>
                <c:pt idx="10">
                  <c:v>5286.1899999999987</c:v>
                </c:pt>
                <c:pt idx="11">
                  <c:v>5196.0999999999985</c:v>
                </c:pt>
                <c:pt idx="12">
                  <c:v>5106.0099999999984</c:v>
                </c:pt>
                <c:pt idx="13">
                  <c:v>5015.9199999999983</c:v>
                </c:pt>
                <c:pt idx="14">
                  <c:v>4925.8299999999981</c:v>
                </c:pt>
                <c:pt idx="15">
                  <c:v>4835.739999999998</c:v>
                </c:pt>
                <c:pt idx="16">
                  <c:v>4745.6499999999978</c:v>
                </c:pt>
                <c:pt idx="17">
                  <c:v>4655.5599999999977</c:v>
                </c:pt>
                <c:pt idx="18">
                  <c:v>4565.4699999999975</c:v>
                </c:pt>
                <c:pt idx="19">
                  <c:v>4475.3799999999974</c:v>
                </c:pt>
                <c:pt idx="20">
                  <c:v>4385.2899999999972</c:v>
                </c:pt>
                <c:pt idx="21">
                  <c:v>4295.1999999999971</c:v>
                </c:pt>
                <c:pt idx="22">
                  <c:v>4221.4899999999971</c:v>
                </c:pt>
              </c:numCache>
            </c:numRef>
          </c:xVal>
          <c:yVal>
            <c:numRef>
              <c:f>'Z2209-32'!$G$3:$G$49</c:f>
              <c:numCache>
                <c:formatCode>General</c:formatCode>
                <c:ptCount val="47"/>
                <c:pt idx="1">
                  <c:v>0</c:v>
                </c:pt>
                <c:pt idx="2">
                  <c:v>5.771552881354447E-3</c:v>
                </c:pt>
                <c:pt idx="3">
                  <c:v>1.1543105762708894E-2</c:v>
                </c:pt>
                <c:pt idx="4">
                  <c:v>1.7314658644063341E-2</c:v>
                </c:pt>
                <c:pt idx="5">
                  <c:v>2.3086211525417788E-2</c:v>
                </c:pt>
                <c:pt idx="6">
                  <c:v>2.8857764406772235E-2</c:v>
                </c:pt>
                <c:pt idx="7">
                  <c:v>3.4629317288126675E-2</c:v>
                </c:pt>
                <c:pt idx="8">
                  <c:v>4.0400870169481122E-2</c:v>
                </c:pt>
                <c:pt idx="9">
                  <c:v>4.6172423050835569E-2</c:v>
                </c:pt>
                <c:pt idx="10">
                  <c:v>5.1943975932190009E-2</c:v>
                </c:pt>
                <c:pt idx="11">
                  <c:v>5.7715528813544456E-2</c:v>
                </c:pt>
                <c:pt idx="12">
                  <c:v>6.3487081694898903E-2</c:v>
                </c:pt>
                <c:pt idx="13">
                  <c:v>6.925863457625335E-2</c:v>
                </c:pt>
                <c:pt idx="14">
                  <c:v>7.5030187457607797E-2</c:v>
                </c:pt>
                <c:pt idx="15">
                  <c:v>8.080174033896223E-2</c:v>
                </c:pt>
                <c:pt idx="16">
                  <c:v>8.6573293220316691E-2</c:v>
                </c:pt>
                <c:pt idx="17">
                  <c:v>9.2344846101671138E-2</c:v>
                </c:pt>
                <c:pt idx="18">
                  <c:v>9.8116398983025599E-2</c:v>
                </c:pt>
                <c:pt idx="19">
                  <c:v>0.10388795186438005</c:v>
                </c:pt>
                <c:pt idx="20">
                  <c:v>0.10965950474573451</c:v>
                </c:pt>
                <c:pt idx="21">
                  <c:v>0.11543105762708895</c:v>
                </c:pt>
                <c:pt idx="22">
                  <c:v>0.12015323725728802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758848"/>
        <c:axId val="249760384"/>
      </c:scatterChart>
      <c:valAx>
        <c:axId val="24975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9760384"/>
        <c:crosses val="autoZero"/>
        <c:crossBetween val="midCat"/>
      </c:valAx>
      <c:valAx>
        <c:axId val="249760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97588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1"/>
          <c:tx>
            <c:strRef>
              <c:f>'Z2209-32'!$D$3:$E$3</c:f>
              <c:strCache>
                <c:ptCount val="1"/>
                <c:pt idx="0">
                  <c:v>Z2209-32</c:v>
                </c:pt>
              </c:strCache>
            </c:strRef>
          </c:tx>
          <c:spPr>
            <a:ln w="28575">
              <a:noFill/>
            </a:ln>
          </c:spPr>
          <c:marker>
            <c:spPr>
              <a:noFill/>
            </c:spPr>
          </c:marker>
          <c:xVal>
            <c:numRef>
              <c:f>'Z2209-32'!$H$3:$H$25</c:f>
              <c:numCache>
                <c:formatCode>General</c:formatCode>
                <c:ptCount val="23"/>
                <c:pt idx="1">
                  <c:v>6097</c:v>
                </c:pt>
                <c:pt idx="2">
                  <c:v>6006.91</c:v>
                </c:pt>
                <c:pt idx="3">
                  <c:v>5916.82</c:v>
                </c:pt>
                <c:pt idx="4">
                  <c:v>5826.73</c:v>
                </c:pt>
                <c:pt idx="5">
                  <c:v>5736.6399999999994</c:v>
                </c:pt>
                <c:pt idx="6">
                  <c:v>5646.5499999999993</c:v>
                </c:pt>
                <c:pt idx="7">
                  <c:v>5556.4599999999991</c:v>
                </c:pt>
                <c:pt idx="8">
                  <c:v>5466.369999999999</c:v>
                </c:pt>
                <c:pt idx="9">
                  <c:v>5376.2799999999988</c:v>
                </c:pt>
                <c:pt idx="10">
                  <c:v>5286.1899999999987</c:v>
                </c:pt>
                <c:pt idx="11">
                  <c:v>5196.0999999999985</c:v>
                </c:pt>
                <c:pt idx="12">
                  <c:v>5106.0099999999984</c:v>
                </c:pt>
                <c:pt idx="13">
                  <c:v>5015.9199999999983</c:v>
                </c:pt>
                <c:pt idx="14">
                  <c:v>4925.8299999999981</c:v>
                </c:pt>
                <c:pt idx="15">
                  <c:v>4835.739999999998</c:v>
                </c:pt>
                <c:pt idx="16">
                  <c:v>4745.6499999999978</c:v>
                </c:pt>
                <c:pt idx="17">
                  <c:v>4655.5599999999977</c:v>
                </c:pt>
                <c:pt idx="18">
                  <c:v>4565.4699999999975</c:v>
                </c:pt>
                <c:pt idx="19">
                  <c:v>4475.3799999999974</c:v>
                </c:pt>
                <c:pt idx="20">
                  <c:v>4385.2899999999972</c:v>
                </c:pt>
                <c:pt idx="21">
                  <c:v>4295.1999999999971</c:v>
                </c:pt>
                <c:pt idx="22">
                  <c:v>4221.4899999999971</c:v>
                </c:pt>
              </c:numCache>
            </c:numRef>
          </c:xVal>
          <c:yVal>
            <c:numRef>
              <c:f>'Z2209-32'!$G$3:$G$25</c:f>
              <c:numCache>
                <c:formatCode>General</c:formatCode>
                <c:ptCount val="23"/>
                <c:pt idx="1">
                  <c:v>0</c:v>
                </c:pt>
                <c:pt idx="2">
                  <c:v>5.771552881354447E-3</c:v>
                </c:pt>
                <c:pt idx="3">
                  <c:v>1.1543105762708894E-2</c:v>
                </c:pt>
                <c:pt idx="4">
                  <c:v>1.7314658644063341E-2</c:v>
                </c:pt>
                <c:pt idx="5">
                  <c:v>2.3086211525417788E-2</c:v>
                </c:pt>
                <c:pt idx="6">
                  <c:v>2.8857764406772235E-2</c:v>
                </c:pt>
                <c:pt idx="7">
                  <c:v>3.4629317288126675E-2</c:v>
                </c:pt>
                <c:pt idx="8">
                  <c:v>4.0400870169481122E-2</c:v>
                </c:pt>
                <c:pt idx="9">
                  <c:v>4.6172423050835569E-2</c:v>
                </c:pt>
                <c:pt idx="10">
                  <c:v>5.1943975932190009E-2</c:v>
                </c:pt>
                <c:pt idx="11">
                  <c:v>5.7715528813544456E-2</c:v>
                </c:pt>
                <c:pt idx="12">
                  <c:v>6.3487081694898903E-2</c:v>
                </c:pt>
                <c:pt idx="13">
                  <c:v>6.925863457625335E-2</c:v>
                </c:pt>
                <c:pt idx="14">
                  <c:v>7.5030187457607797E-2</c:v>
                </c:pt>
                <c:pt idx="15">
                  <c:v>8.080174033896223E-2</c:v>
                </c:pt>
                <c:pt idx="16">
                  <c:v>8.6573293220316691E-2</c:v>
                </c:pt>
                <c:pt idx="17">
                  <c:v>9.2344846101671138E-2</c:v>
                </c:pt>
                <c:pt idx="18">
                  <c:v>9.8116398983025599E-2</c:v>
                </c:pt>
                <c:pt idx="19">
                  <c:v>0.10388795186438005</c:v>
                </c:pt>
                <c:pt idx="20">
                  <c:v>0.10965950474573451</c:v>
                </c:pt>
                <c:pt idx="21">
                  <c:v>0.11543105762708895</c:v>
                </c:pt>
                <c:pt idx="22">
                  <c:v>0.12015323725728802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'Z2213-24'!$D$3:$E$3</c:f>
              <c:strCache>
                <c:ptCount val="1"/>
                <c:pt idx="0">
                  <c:v>Z2213-24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noFill/>
            </c:spPr>
          </c:marker>
          <c:xVal>
            <c:numRef>
              <c:f>'Z2213-24'!$H$3:$H$30</c:f>
              <c:numCache>
                <c:formatCode>General</c:formatCode>
                <c:ptCount val="28"/>
                <c:pt idx="1">
                  <c:v>5695</c:v>
                </c:pt>
                <c:pt idx="2">
                  <c:v>5626.15</c:v>
                </c:pt>
                <c:pt idx="3">
                  <c:v>5557.2999999999993</c:v>
                </c:pt>
                <c:pt idx="4">
                  <c:v>5488.4499999999989</c:v>
                </c:pt>
                <c:pt idx="5">
                  <c:v>5419.5999999999985</c:v>
                </c:pt>
                <c:pt idx="6">
                  <c:v>5350.7499999999982</c:v>
                </c:pt>
                <c:pt idx="7">
                  <c:v>5281.8999999999978</c:v>
                </c:pt>
                <c:pt idx="8">
                  <c:v>5213.0499999999975</c:v>
                </c:pt>
                <c:pt idx="9">
                  <c:v>5144.1999999999971</c:v>
                </c:pt>
                <c:pt idx="10">
                  <c:v>5075.3499999999976</c:v>
                </c:pt>
                <c:pt idx="11">
                  <c:v>5006.4999999999973</c:v>
                </c:pt>
                <c:pt idx="12">
                  <c:v>4937.6499999999978</c:v>
                </c:pt>
                <c:pt idx="13">
                  <c:v>4868.7999999999975</c:v>
                </c:pt>
                <c:pt idx="14">
                  <c:v>4799.9499999999971</c:v>
                </c:pt>
                <c:pt idx="15">
                  <c:v>4731.0999999999976</c:v>
                </c:pt>
                <c:pt idx="16">
                  <c:v>4662.2499999999982</c:v>
                </c:pt>
                <c:pt idx="17">
                  <c:v>4593.3999999999978</c:v>
                </c:pt>
                <c:pt idx="18">
                  <c:v>4524.5499999999984</c:v>
                </c:pt>
                <c:pt idx="19">
                  <c:v>4455.699999999998</c:v>
                </c:pt>
                <c:pt idx="20">
                  <c:v>4386.8499999999976</c:v>
                </c:pt>
                <c:pt idx="21">
                  <c:v>4317.9999999999982</c:v>
                </c:pt>
                <c:pt idx="22">
                  <c:v>4249.1499999999978</c:v>
                </c:pt>
                <c:pt idx="23">
                  <c:v>4180.2999999999975</c:v>
                </c:pt>
                <c:pt idx="24">
                  <c:v>4111.449999999998</c:v>
                </c:pt>
                <c:pt idx="25">
                  <c:v>4042.5999999999981</c:v>
                </c:pt>
                <c:pt idx="26">
                  <c:v>3973.7499999999982</c:v>
                </c:pt>
                <c:pt idx="27">
                  <c:v>3927.8499999999976</c:v>
                </c:pt>
              </c:numCache>
            </c:numRef>
          </c:xVal>
          <c:yVal>
            <c:numRef>
              <c:f>'Z2213-24'!$G$3:$G$30</c:f>
              <c:numCache>
                <c:formatCode>General</c:formatCode>
                <c:ptCount val="28"/>
                <c:pt idx="1">
                  <c:v>0</c:v>
                </c:pt>
                <c:pt idx="2">
                  <c:v>6.7406799427155674E-3</c:v>
                </c:pt>
                <c:pt idx="3">
                  <c:v>1.3481359885431133E-2</c:v>
                </c:pt>
                <c:pt idx="4">
                  <c:v>2.0222039828146701E-2</c:v>
                </c:pt>
                <c:pt idx="5">
                  <c:v>2.6962719770862269E-2</c:v>
                </c:pt>
                <c:pt idx="6">
                  <c:v>3.3703399713577845E-2</c:v>
                </c:pt>
                <c:pt idx="7">
                  <c:v>4.0444079656293409E-2</c:v>
                </c:pt>
                <c:pt idx="8">
                  <c:v>4.7184759599008974E-2</c:v>
                </c:pt>
                <c:pt idx="9">
                  <c:v>5.3925439541724539E-2</c:v>
                </c:pt>
                <c:pt idx="10">
                  <c:v>6.0666119484440097E-2</c:v>
                </c:pt>
                <c:pt idx="11">
                  <c:v>6.7406799427155661E-2</c:v>
                </c:pt>
                <c:pt idx="12">
                  <c:v>7.4147479369871219E-2</c:v>
                </c:pt>
                <c:pt idx="13">
                  <c:v>8.0888159312586791E-2</c:v>
                </c:pt>
                <c:pt idx="14">
                  <c:v>8.7628839255302363E-2</c:v>
                </c:pt>
                <c:pt idx="15">
                  <c:v>9.436951919801792E-2</c:v>
                </c:pt>
                <c:pt idx="16">
                  <c:v>0.10111019914073348</c:v>
                </c:pt>
                <c:pt idx="17">
                  <c:v>0.10785087908344905</c:v>
                </c:pt>
                <c:pt idx="18">
                  <c:v>0.11459155902616461</c:v>
                </c:pt>
                <c:pt idx="19">
                  <c:v>0.12133223896888018</c:v>
                </c:pt>
                <c:pt idx="20">
                  <c:v>0.12807291891159575</c:v>
                </c:pt>
                <c:pt idx="21">
                  <c:v>0.1348135988543113</c:v>
                </c:pt>
                <c:pt idx="22">
                  <c:v>0.14155427879702687</c:v>
                </c:pt>
                <c:pt idx="23">
                  <c:v>0.14829495873974244</c:v>
                </c:pt>
                <c:pt idx="24">
                  <c:v>0.15503563868245798</c:v>
                </c:pt>
                <c:pt idx="25">
                  <c:v>0.16177631862517355</c:v>
                </c:pt>
                <c:pt idx="26">
                  <c:v>0.16851699856788913</c:v>
                </c:pt>
                <c:pt idx="27">
                  <c:v>0.17301078519636623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'ZS2209-30'!$D$3:$E$3</c:f>
              <c:strCache>
                <c:ptCount val="1"/>
                <c:pt idx="0">
                  <c:v>ZS2209-30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noFill/>
            </c:spPr>
          </c:marker>
          <c:trendline>
            <c:name>ZS2209-30</c:name>
            <c:spPr>
              <a:ln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'ZS2209-30'!$H$3:$H$41</c:f>
              <c:numCache>
                <c:formatCode>General</c:formatCode>
                <c:ptCount val="39"/>
                <c:pt idx="1">
                  <c:v>6365</c:v>
                </c:pt>
                <c:pt idx="2">
                  <c:v>6296.1724999999997</c:v>
                </c:pt>
                <c:pt idx="3">
                  <c:v>6227.3449999999993</c:v>
                </c:pt>
                <c:pt idx="4">
                  <c:v>6158.517499999999</c:v>
                </c:pt>
                <c:pt idx="5">
                  <c:v>6089.6899999999987</c:v>
                </c:pt>
                <c:pt idx="6">
                  <c:v>6020.8624999999984</c:v>
                </c:pt>
                <c:pt idx="7">
                  <c:v>5952.034999999998</c:v>
                </c:pt>
                <c:pt idx="8">
                  <c:v>5883.2074999999977</c:v>
                </c:pt>
                <c:pt idx="9">
                  <c:v>5814.3799999999974</c:v>
                </c:pt>
                <c:pt idx="10">
                  <c:v>5745.5524999999971</c:v>
                </c:pt>
                <c:pt idx="11">
                  <c:v>5676.7249999999967</c:v>
                </c:pt>
                <c:pt idx="12">
                  <c:v>5607.8974999999964</c:v>
                </c:pt>
                <c:pt idx="13">
                  <c:v>5539.0699999999961</c:v>
                </c:pt>
                <c:pt idx="14">
                  <c:v>5470.2424999999957</c:v>
                </c:pt>
                <c:pt idx="15">
                  <c:v>5401.4149999999954</c:v>
                </c:pt>
                <c:pt idx="16">
                  <c:v>5332.5874999999951</c:v>
                </c:pt>
                <c:pt idx="17">
                  <c:v>5263.7599999999948</c:v>
                </c:pt>
                <c:pt idx="18">
                  <c:v>5194.9324999999953</c:v>
                </c:pt>
                <c:pt idx="19">
                  <c:v>5126.1049999999959</c:v>
                </c:pt>
                <c:pt idx="20">
                  <c:v>5057.2774999999956</c:v>
                </c:pt>
                <c:pt idx="21">
                  <c:v>4988.4499999999962</c:v>
                </c:pt>
                <c:pt idx="22">
                  <c:v>4919.6224999999968</c:v>
                </c:pt>
                <c:pt idx="23">
                  <c:v>4850.7949999999973</c:v>
                </c:pt>
                <c:pt idx="24">
                  <c:v>4781.967499999997</c:v>
                </c:pt>
                <c:pt idx="25">
                  <c:v>4713.1399999999976</c:v>
                </c:pt>
                <c:pt idx="26">
                  <c:v>4644.3124999999982</c:v>
                </c:pt>
                <c:pt idx="27">
                  <c:v>4575.4849999999988</c:v>
                </c:pt>
                <c:pt idx="28">
                  <c:v>4506.6574999999984</c:v>
                </c:pt>
                <c:pt idx="29">
                  <c:v>4437.8299999999981</c:v>
                </c:pt>
                <c:pt idx="30">
                  <c:v>4369.0024999999987</c:v>
                </c:pt>
                <c:pt idx="31">
                  <c:v>4300.1749999999984</c:v>
                </c:pt>
                <c:pt idx="32">
                  <c:v>4231.3474999999989</c:v>
                </c:pt>
                <c:pt idx="33">
                  <c:v>4162.5199999999986</c:v>
                </c:pt>
                <c:pt idx="34">
                  <c:v>4093.6924999999987</c:v>
                </c:pt>
                <c:pt idx="35">
                  <c:v>4024.8649999999993</c:v>
                </c:pt>
                <c:pt idx="36">
                  <c:v>3956.0374999999995</c:v>
                </c:pt>
                <c:pt idx="37">
                  <c:v>3887.2099999999996</c:v>
                </c:pt>
                <c:pt idx="38">
                  <c:v>3833.677499999998</c:v>
                </c:pt>
              </c:numCache>
            </c:numRef>
          </c:xVal>
          <c:yVal>
            <c:numRef>
              <c:f>'ZS2209-30'!$G$3:$G$41</c:f>
              <c:numCache>
                <c:formatCode>General</c:formatCode>
                <c:ptCount val="39"/>
                <c:pt idx="1">
                  <c:v>0</c:v>
                </c:pt>
                <c:pt idx="2">
                  <c:v>4.5233510141907103E-3</c:v>
                </c:pt>
                <c:pt idx="3">
                  <c:v>9.046702028381419E-3</c:v>
                </c:pt>
                <c:pt idx="4">
                  <c:v>1.3570053042572132E-2</c:v>
                </c:pt>
                <c:pt idx="5">
                  <c:v>1.8093404056762841E-2</c:v>
                </c:pt>
                <c:pt idx="6">
                  <c:v>2.2616755070953551E-2</c:v>
                </c:pt>
                <c:pt idx="7">
                  <c:v>2.714010608514426E-2</c:v>
                </c:pt>
                <c:pt idx="8">
                  <c:v>3.166345709933497E-2</c:v>
                </c:pt>
                <c:pt idx="9">
                  <c:v>3.6186808113525683E-2</c:v>
                </c:pt>
                <c:pt idx="10">
                  <c:v>4.0710159127716396E-2</c:v>
                </c:pt>
                <c:pt idx="11">
                  <c:v>4.5233510141907109E-2</c:v>
                </c:pt>
                <c:pt idx="12">
                  <c:v>4.9756861156097822E-2</c:v>
                </c:pt>
                <c:pt idx="13">
                  <c:v>5.4280212170288528E-2</c:v>
                </c:pt>
                <c:pt idx="14">
                  <c:v>5.8803563184479241E-2</c:v>
                </c:pt>
                <c:pt idx="15">
                  <c:v>6.3326914198669954E-2</c:v>
                </c:pt>
                <c:pt idx="16">
                  <c:v>6.7850265212860666E-2</c:v>
                </c:pt>
                <c:pt idx="17">
                  <c:v>7.2373616227051379E-2</c:v>
                </c:pt>
                <c:pt idx="18">
                  <c:v>7.6896967241242078E-2</c:v>
                </c:pt>
                <c:pt idx="19">
                  <c:v>8.1420318255432778E-2</c:v>
                </c:pt>
                <c:pt idx="20">
                  <c:v>8.5943669269623491E-2</c:v>
                </c:pt>
                <c:pt idx="21">
                  <c:v>9.046702028381419E-2</c:v>
                </c:pt>
                <c:pt idx="22">
                  <c:v>9.4990371298004889E-2</c:v>
                </c:pt>
                <c:pt idx="23">
                  <c:v>9.9513722312195588E-2</c:v>
                </c:pt>
                <c:pt idx="24">
                  <c:v>0.1040370733263863</c:v>
                </c:pt>
                <c:pt idx="25">
                  <c:v>0.108560424340577</c:v>
                </c:pt>
                <c:pt idx="26">
                  <c:v>0.1130837753547677</c:v>
                </c:pt>
                <c:pt idx="27">
                  <c:v>0.1176071263689584</c:v>
                </c:pt>
                <c:pt idx="28">
                  <c:v>0.12213047738314911</c:v>
                </c:pt>
                <c:pt idx="29">
                  <c:v>0.12665382839733982</c:v>
                </c:pt>
                <c:pt idx="30">
                  <c:v>0.13117717941153051</c:v>
                </c:pt>
                <c:pt idx="31">
                  <c:v>0.13570053042572122</c:v>
                </c:pt>
                <c:pt idx="32">
                  <c:v>0.14022388143991191</c:v>
                </c:pt>
                <c:pt idx="33">
                  <c:v>0.14474723245410262</c:v>
                </c:pt>
                <c:pt idx="34">
                  <c:v>0.14927058346829333</c:v>
                </c:pt>
                <c:pt idx="35">
                  <c:v>0.15379393448248402</c:v>
                </c:pt>
                <c:pt idx="36">
                  <c:v>0.15831728549667473</c:v>
                </c:pt>
                <c:pt idx="37">
                  <c:v>0.16284063651086544</c:v>
                </c:pt>
                <c:pt idx="38">
                  <c:v>0.16635879841079165</c:v>
                </c:pt>
              </c:numCache>
            </c:numRef>
          </c:yVal>
          <c:smooth val="1"/>
        </c:ser>
        <c:ser>
          <c:idx val="5"/>
          <c:order val="4"/>
          <c:tx>
            <c:strRef>
              <c:f>'ZS2213-22'!$D$3:$E$3</c:f>
              <c:strCache>
                <c:ptCount val="1"/>
                <c:pt idx="0">
                  <c:v>ZS2213-22</c:v>
                </c:pt>
              </c:strCache>
            </c:strRef>
          </c:tx>
          <c:spPr>
            <a:ln w="28575">
              <a:noFill/>
            </a:ln>
          </c:spPr>
          <c:marker>
            <c:spPr>
              <a:noFill/>
            </c:spPr>
          </c:marker>
          <c:trendline>
            <c:name>ZS2213-22</c:name>
            <c:spPr>
              <a:ln cmpd="sng">
                <a:solidFill>
                  <a:schemeClr val="tx1"/>
                </a:solidFill>
                <a:prstDash val="dash"/>
              </a:ln>
            </c:spPr>
            <c:trendlineType val="linear"/>
            <c:dispRSqr val="0"/>
            <c:dispEq val="0"/>
          </c:trendline>
          <c:xVal>
            <c:numRef>
              <c:f>'ZS2213-22'!$H$3:$H$49</c:f>
              <c:numCache>
                <c:formatCode>General</c:formatCode>
                <c:ptCount val="47"/>
                <c:pt idx="1">
                  <c:v>5775.4000000000005</c:v>
                </c:pt>
                <c:pt idx="2">
                  <c:v>5729.4036800000003</c:v>
                </c:pt>
                <c:pt idx="3">
                  <c:v>5683.4073600000002</c:v>
                </c:pt>
                <c:pt idx="4">
                  <c:v>5637.41104</c:v>
                </c:pt>
                <c:pt idx="5">
                  <c:v>5591.4147199999998</c:v>
                </c:pt>
                <c:pt idx="6">
                  <c:v>5545.4183999999996</c:v>
                </c:pt>
                <c:pt idx="7">
                  <c:v>5499.4220799999994</c:v>
                </c:pt>
                <c:pt idx="8">
                  <c:v>5453.4257599999992</c:v>
                </c:pt>
                <c:pt idx="9">
                  <c:v>5407.429439999999</c:v>
                </c:pt>
                <c:pt idx="10">
                  <c:v>5361.4331199999988</c:v>
                </c:pt>
                <c:pt idx="11">
                  <c:v>5315.4367999999986</c:v>
                </c:pt>
                <c:pt idx="12">
                  <c:v>5269.4404799999984</c:v>
                </c:pt>
                <c:pt idx="13">
                  <c:v>5223.4441599999982</c:v>
                </c:pt>
                <c:pt idx="14">
                  <c:v>5177.447839999998</c:v>
                </c:pt>
                <c:pt idx="15">
                  <c:v>5131.4515199999978</c:v>
                </c:pt>
                <c:pt idx="16">
                  <c:v>5085.4551999999976</c:v>
                </c:pt>
                <c:pt idx="17">
                  <c:v>5039.4588799999974</c:v>
                </c:pt>
                <c:pt idx="18">
                  <c:v>4993.4625599999972</c:v>
                </c:pt>
                <c:pt idx="19">
                  <c:v>4947.466239999997</c:v>
                </c:pt>
                <c:pt idx="20">
                  <c:v>4901.4699199999968</c:v>
                </c:pt>
                <c:pt idx="21">
                  <c:v>4855.4735999999966</c:v>
                </c:pt>
                <c:pt idx="22">
                  <c:v>4809.4772799999964</c:v>
                </c:pt>
                <c:pt idx="23">
                  <c:v>4763.4809599999962</c:v>
                </c:pt>
                <c:pt idx="24">
                  <c:v>4717.484639999996</c:v>
                </c:pt>
                <c:pt idx="25">
                  <c:v>4671.4883199999958</c:v>
                </c:pt>
                <c:pt idx="26">
                  <c:v>4625.4919999999956</c:v>
                </c:pt>
                <c:pt idx="27">
                  <c:v>4579.4956799999954</c:v>
                </c:pt>
                <c:pt idx="28">
                  <c:v>4533.4993599999952</c:v>
                </c:pt>
                <c:pt idx="29">
                  <c:v>4487.5030399999951</c:v>
                </c:pt>
                <c:pt idx="30">
                  <c:v>4441.5067199999949</c:v>
                </c:pt>
                <c:pt idx="31">
                  <c:v>4395.5103999999947</c:v>
                </c:pt>
                <c:pt idx="32">
                  <c:v>4349.5140799999945</c:v>
                </c:pt>
                <c:pt idx="33">
                  <c:v>4303.5177599999943</c:v>
                </c:pt>
                <c:pt idx="34">
                  <c:v>4257.5214399999941</c:v>
                </c:pt>
                <c:pt idx="35">
                  <c:v>4211.5251199999939</c:v>
                </c:pt>
                <c:pt idx="36">
                  <c:v>4165.5287999999937</c:v>
                </c:pt>
                <c:pt idx="37">
                  <c:v>4119.5324799999935</c:v>
                </c:pt>
                <c:pt idx="38">
                  <c:v>4073.5361599999933</c:v>
                </c:pt>
                <c:pt idx="39">
                  <c:v>4027.5398399999931</c:v>
                </c:pt>
                <c:pt idx="40">
                  <c:v>3981.5435199999929</c:v>
                </c:pt>
                <c:pt idx="41">
                  <c:v>3935.5471999999927</c:v>
                </c:pt>
                <c:pt idx="42">
                  <c:v>3889.5508799999925</c:v>
                </c:pt>
                <c:pt idx="43">
                  <c:v>3843.5545599999923</c:v>
                </c:pt>
                <c:pt idx="44">
                  <c:v>3797.5582399999921</c:v>
                </c:pt>
                <c:pt idx="45">
                  <c:v>3751.5619199999919</c:v>
                </c:pt>
                <c:pt idx="46">
                  <c:v>3721.5643199999945</c:v>
                </c:pt>
              </c:numCache>
            </c:numRef>
          </c:xVal>
          <c:yVal>
            <c:numRef>
              <c:f>'ZS2213-22'!$G$3:$G$49</c:f>
              <c:numCache>
                <c:formatCode>General</c:formatCode>
                <c:ptCount val="47"/>
                <c:pt idx="1">
                  <c:v>0</c:v>
                </c:pt>
                <c:pt idx="2">
                  <c:v>5.0959123310166032E-3</c:v>
                </c:pt>
                <c:pt idx="3">
                  <c:v>1.0191824662033208E-2</c:v>
                </c:pt>
                <c:pt idx="4">
                  <c:v>1.5287736993049809E-2</c:v>
                </c:pt>
                <c:pt idx="5">
                  <c:v>2.0383649324066413E-2</c:v>
                </c:pt>
                <c:pt idx="6">
                  <c:v>2.5479561655083017E-2</c:v>
                </c:pt>
                <c:pt idx="7">
                  <c:v>3.0575473986099617E-2</c:v>
                </c:pt>
                <c:pt idx="8">
                  <c:v>3.5671386317116222E-2</c:v>
                </c:pt>
                <c:pt idx="9">
                  <c:v>4.0767298648132833E-2</c:v>
                </c:pt>
                <c:pt idx="10">
                  <c:v>4.586321097914943E-2</c:v>
                </c:pt>
                <c:pt idx="11">
                  <c:v>5.0959123310166034E-2</c:v>
                </c:pt>
                <c:pt idx="12">
                  <c:v>5.6055035641182638E-2</c:v>
                </c:pt>
                <c:pt idx="13">
                  <c:v>6.1150947972199242E-2</c:v>
                </c:pt>
                <c:pt idx="14">
                  <c:v>6.6246860303215846E-2</c:v>
                </c:pt>
                <c:pt idx="15">
                  <c:v>7.1342772634232457E-2</c:v>
                </c:pt>
                <c:pt idx="16">
                  <c:v>7.6438684965249054E-2</c:v>
                </c:pt>
                <c:pt idx="17">
                  <c:v>8.1534597296265651E-2</c:v>
                </c:pt>
                <c:pt idx="18">
                  <c:v>8.6630509627282276E-2</c:v>
                </c:pt>
                <c:pt idx="19">
                  <c:v>9.1726421958298887E-2</c:v>
                </c:pt>
                <c:pt idx="20">
                  <c:v>9.6822334289315498E-2</c:v>
                </c:pt>
                <c:pt idx="21">
                  <c:v>0.10191824662033211</c:v>
                </c:pt>
                <c:pt idx="22">
                  <c:v>0.10701415895134872</c:v>
                </c:pt>
                <c:pt idx="23">
                  <c:v>0.11211007128236533</c:v>
                </c:pt>
                <c:pt idx="24">
                  <c:v>0.11720598361338194</c:v>
                </c:pt>
                <c:pt idx="25">
                  <c:v>0.12230189594439857</c:v>
                </c:pt>
                <c:pt idx="26">
                  <c:v>0.12739780827541516</c:v>
                </c:pt>
                <c:pt idx="27">
                  <c:v>0.13249372060643178</c:v>
                </c:pt>
                <c:pt idx="28">
                  <c:v>0.13758963293744839</c:v>
                </c:pt>
                <c:pt idx="29">
                  <c:v>0.142685545268465</c:v>
                </c:pt>
                <c:pt idx="30">
                  <c:v>0.14778145759948161</c:v>
                </c:pt>
                <c:pt idx="31">
                  <c:v>0.15287736993049822</c:v>
                </c:pt>
                <c:pt idx="32">
                  <c:v>0.15797328226151483</c:v>
                </c:pt>
                <c:pt idx="33">
                  <c:v>0.16306919459253144</c:v>
                </c:pt>
                <c:pt idx="34">
                  <c:v>0.16816510692354805</c:v>
                </c:pt>
                <c:pt idx="35">
                  <c:v>0.17326101925456466</c:v>
                </c:pt>
                <c:pt idx="36">
                  <c:v>0.17835693158558127</c:v>
                </c:pt>
                <c:pt idx="37">
                  <c:v>0.18345284391659789</c:v>
                </c:pt>
                <c:pt idx="38">
                  <c:v>0.1885487562476145</c:v>
                </c:pt>
                <c:pt idx="39">
                  <c:v>0.19364466857863111</c:v>
                </c:pt>
                <c:pt idx="40">
                  <c:v>0.19874058090964772</c:v>
                </c:pt>
                <c:pt idx="41">
                  <c:v>0.20383649324066433</c:v>
                </c:pt>
                <c:pt idx="42">
                  <c:v>0.20893240557168097</c:v>
                </c:pt>
                <c:pt idx="43">
                  <c:v>0.21402831790269758</c:v>
                </c:pt>
                <c:pt idx="44">
                  <c:v>0.21912423023371419</c:v>
                </c:pt>
                <c:pt idx="45">
                  <c:v>0.2242201425647308</c:v>
                </c:pt>
                <c:pt idx="46">
                  <c:v>0.22754356365017614</c:v>
                </c:pt>
              </c:numCache>
            </c:numRef>
          </c:yVal>
          <c:smooth val="1"/>
        </c:ser>
        <c:ser>
          <c:idx val="6"/>
          <c:order val="5"/>
          <c:tx>
            <c:strRef>
              <c:f>'A20-30MEVO'!$D$3:$E$3</c:f>
              <c:strCache>
                <c:ptCount val="1"/>
                <c:pt idx="0">
                  <c:v>A20-30MEVO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7"/>
          </c:marker>
          <c:xVal>
            <c:numRef>
              <c:f>'A20-30MEVO'!$H$3:$H$28</c:f>
              <c:numCache>
                <c:formatCode>General</c:formatCode>
                <c:ptCount val="26"/>
                <c:pt idx="1">
                  <c:v>6566</c:v>
                </c:pt>
                <c:pt idx="2">
                  <c:v>6463.6880000000001</c:v>
                </c:pt>
                <c:pt idx="3">
                  <c:v>6361.3760000000002</c:v>
                </c:pt>
                <c:pt idx="4">
                  <c:v>6259.0640000000003</c:v>
                </c:pt>
                <c:pt idx="5">
                  <c:v>6156.7520000000004</c:v>
                </c:pt>
                <c:pt idx="6">
                  <c:v>6054.4400000000005</c:v>
                </c:pt>
                <c:pt idx="7">
                  <c:v>5952.1280000000006</c:v>
                </c:pt>
                <c:pt idx="8">
                  <c:v>5849.8160000000007</c:v>
                </c:pt>
                <c:pt idx="9">
                  <c:v>5747.5040000000008</c:v>
                </c:pt>
                <c:pt idx="10">
                  <c:v>5645.1920000000009</c:v>
                </c:pt>
                <c:pt idx="11">
                  <c:v>5542.880000000001</c:v>
                </c:pt>
                <c:pt idx="12">
                  <c:v>5440.5680000000011</c:v>
                </c:pt>
                <c:pt idx="13">
                  <c:v>5338.2560000000012</c:v>
                </c:pt>
                <c:pt idx="14">
                  <c:v>5235.9440000000013</c:v>
                </c:pt>
                <c:pt idx="15">
                  <c:v>5133.6320000000014</c:v>
                </c:pt>
                <c:pt idx="16">
                  <c:v>5031.3200000000015</c:v>
                </c:pt>
                <c:pt idx="17">
                  <c:v>4929.0080000000016</c:v>
                </c:pt>
                <c:pt idx="18">
                  <c:v>4826.6960000000017</c:v>
                </c:pt>
                <c:pt idx="19">
                  <c:v>4724.3840000000018</c:v>
                </c:pt>
                <c:pt idx="20">
                  <c:v>4622.0720000000019</c:v>
                </c:pt>
                <c:pt idx="21">
                  <c:v>4519.760000000002</c:v>
                </c:pt>
                <c:pt idx="22">
                  <c:v>4417.4480000000021</c:v>
                </c:pt>
                <c:pt idx="23">
                  <c:v>4315.1360000000022</c:v>
                </c:pt>
                <c:pt idx="24">
                  <c:v>4212.8240000000023</c:v>
                </c:pt>
                <c:pt idx="25">
                  <c:v>4110.5120000000015</c:v>
                </c:pt>
              </c:numCache>
            </c:numRef>
          </c:xVal>
          <c:yVal>
            <c:numRef>
              <c:f>'A20-30MEVO'!$G$3:$G$28</c:f>
              <c:numCache>
                <c:formatCode>General</c:formatCode>
                <c:ptCount val="26"/>
                <c:pt idx="1">
                  <c:v>0</c:v>
                </c:pt>
                <c:pt idx="2">
                  <c:v>5.846508113579829E-3</c:v>
                </c:pt>
                <c:pt idx="3">
                  <c:v>1.1693016227159656E-2</c:v>
                </c:pt>
                <c:pt idx="4">
                  <c:v>1.7539524340739486E-2</c:v>
                </c:pt>
                <c:pt idx="5">
                  <c:v>2.3386032454319316E-2</c:v>
                </c:pt>
                <c:pt idx="6">
                  <c:v>2.9232540567899142E-2</c:v>
                </c:pt>
                <c:pt idx="7">
                  <c:v>3.5079048681478979E-2</c:v>
                </c:pt>
                <c:pt idx="8">
                  <c:v>4.0925556795058805E-2</c:v>
                </c:pt>
                <c:pt idx="9">
                  <c:v>4.6772064908638625E-2</c:v>
                </c:pt>
                <c:pt idx="10">
                  <c:v>5.2618573022218451E-2</c:v>
                </c:pt>
                <c:pt idx="11">
                  <c:v>5.8465081135798277E-2</c:v>
                </c:pt>
                <c:pt idx="12">
                  <c:v>6.4311589249378104E-2</c:v>
                </c:pt>
                <c:pt idx="13">
                  <c:v>7.015809736295793E-2</c:v>
                </c:pt>
                <c:pt idx="14">
                  <c:v>7.6004605476537757E-2</c:v>
                </c:pt>
                <c:pt idx="15">
                  <c:v>8.1851113590117583E-2</c:v>
                </c:pt>
                <c:pt idx="16">
                  <c:v>8.7697621703697409E-2</c:v>
                </c:pt>
                <c:pt idx="17">
                  <c:v>9.3544129817277236E-2</c:v>
                </c:pt>
                <c:pt idx="18">
                  <c:v>9.9390637930857062E-2</c:v>
                </c:pt>
                <c:pt idx="19">
                  <c:v>0.10523714604443689</c:v>
                </c:pt>
                <c:pt idx="20">
                  <c:v>0.11108365415801671</c:v>
                </c:pt>
                <c:pt idx="21">
                  <c:v>0.11693016227159654</c:v>
                </c:pt>
                <c:pt idx="22">
                  <c:v>0.12277667038517635</c:v>
                </c:pt>
                <c:pt idx="23">
                  <c:v>0.12862317849875618</c:v>
                </c:pt>
                <c:pt idx="24">
                  <c:v>0.13446968661233599</c:v>
                </c:pt>
                <c:pt idx="25">
                  <c:v>0.14031619472591589</c:v>
                </c:pt>
              </c:numCache>
            </c:numRef>
          </c:yVal>
          <c:smooth val="1"/>
        </c:ser>
        <c:ser>
          <c:idx val="7"/>
          <c:order val="6"/>
          <c:tx>
            <c:strRef>
              <c:f>'A20-22LEVO'!$D$3:$E$3</c:f>
              <c:strCache>
                <c:ptCount val="1"/>
                <c:pt idx="0">
                  <c:v>A20-22LEVO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7"/>
          </c:marker>
          <c:trendline>
            <c:spPr>
              <a:ln>
                <a:prstDash val="lgDashDotDot"/>
              </a:ln>
            </c:spPr>
            <c:trendlineType val="linear"/>
            <c:dispRSqr val="0"/>
            <c:dispEq val="0"/>
          </c:trendline>
          <c:xVal>
            <c:numRef>
              <c:f>'A20-22LEVO'!$H$3:$H$29</c:f>
              <c:numCache>
                <c:formatCode>General</c:formatCode>
                <c:ptCount val="27"/>
                <c:pt idx="1">
                  <c:v>6190.8</c:v>
                </c:pt>
                <c:pt idx="2">
                  <c:v>6129.1230000000005</c:v>
                </c:pt>
                <c:pt idx="3">
                  <c:v>6067.4460000000008</c:v>
                </c:pt>
                <c:pt idx="4">
                  <c:v>6005.7690000000011</c:v>
                </c:pt>
                <c:pt idx="5">
                  <c:v>5944.0920000000015</c:v>
                </c:pt>
                <c:pt idx="6">
                  <c:v>5882.4150000000018</c:v>
                </c:pt>
                <c:pt idx="7">
                  <c:v>5820.7380000000021</c:v>
                </c:pt>
                <c:pt idx="8">
                  <c:v>5759.0610000000024</c:v>
                </c:pt>
                <c:pt idx="9">
                  <c:v>5697.3840000000027</c:v>
                </c:pt>
                <c:pt idx="10">
                  <c:v>5635.7070000000031</c:v>
                </c:pt>
                <c:pt idx="11">
                  <c:v>5574.0300000000034</c:v>
                </c:pt>
                <c:pt idx="12">
                  <c:v>5512.3530000000037</c:v>
                </c:pt>
                <c:pt idx="13">
                  <c:v>5450.676000000004</c:v>
                </c:pt>
                <c:pt idx="14">
                  <c:v>5388.9990000000043</c:v>
                </c:pt>
                <c:pt idx="15">
                  <c:v>5327.3220000000047</c:v>
                </c:pt>
                <c:pt idx="16">
                  <c:v>5265.645000000005</c:v>
                </c:pt>
                <c:pt idx="17">
                  <c:v>5203.9680000000053</c:v>
                </c:pt>
                <c:pt idx="18">
                  <c:v>5142.2910000000056</c:v>
                </c:pt>
                <c:pt idx="19">
                  <c:v>5080.6140000000059</c:v>
                </c:pt>
                <c:pt idx="20">
                  <c:v>5018.9370000000063</c:v>
                </c:pt>
                <c:pt idx="21">
                  <c:v>4957.2600000000066</c:v>
                </c:pt>
                <c:pt idx="22">
                  <c:v>4895.5830000000069</c:v>
                </c:pt>
                <c:pt idx="23">
                  <c:v>4833.9060000000072</c:v>
                </c:pt>
                <c:pt idx="24">
                  <c:v>4772.2290000000075</c:v>
                </c:pt>
                <c:pt idx="25">
                  <c:v>4710.5520000000079</c:v>
                </c:pt>
                <c:pt idx="26">
                  <c:v>4689.9930000000077</c:v>
                </c:pt>
              </c:numCache>
            </c:numRef>
          </c:xVal>
          <c:yVal>
            <c:numRef>
              <c:f>'A20-22LEVO'!$G$3:$G$29</c:f>
              <c:numCache>
                <c:formatCode>General</c:formatCode>
                <c:ptCount val="27"/>
                <c:pt idx="1">
                  <c:v>0</c:v>
                </c:pt>
                <c:pt idx="2">
                  <c:v>7.7510524233065925E-3</c:v>
                </c:pt>
                <c:pt idx="3">
                  <c:v>1.5502104846613185E-2</c:v>
                </c:pt>
                <c:pt idx="4">
                  <c:v>2.3253157269919777E-2</c:v>
                </c:pt>
                <c:pt idx="5">
                  <c:v>3.100420969322637E-2</c:v>
                </c:pt>
                <c:pt idx="6">
                  <c:v>3.8755262116532962E-2</c:v>
                </c:pt>
                <c:pt idx="7">
                  <c:v>4.6506314539839555E-2</c:v>
                </c:pt>
                <c:pt idx="8">
                  <c:v>5.4257366963146147E-2</c:v>
                </c:pt>
                <c:pt idx="9">
                  <c:v>6.200841938645274E-2</c:v>
                </c:pt>
                <c:pt idx="10">
                  <c:v>6.9759471809759332E-2</c:v>
                </c:pt>
                <c:pt idx="11">
                  <c:v>7.7510524233065925E-2</c:v>
                </c:pt>
                <c:pt idx="12">
                  <c:v>8.5261576656372517E-2</c:v>
                </c:pt>
                <c:pt idx="13">
                  <c:v>9.301262907967911E-2</c:v>
                </c:pt>
                <c:pt idx="14">
                  <c:v>0.1007636815029857</c:v>
                </c:pt>
                <c:pt idx="15">
                  <c:v>0.10851473392629229</c:v>
                </c:pt>
                <c:pt idx="16">
                  <c:v>0.11626578634959889</c:v>
                </c:pt>
                <c:pt idx="17">
                  <c:v>0.12401683877290548</c:v>
                </c:pt>
                <c:pt idx="18">
                  <c:v>0.13176789119621207</c:v>
                </c:pt>
                <c:pt idx="19">
                  <c:v>0.13951894361951866</c:v>
                </c:pt>
                <c:pt idx="20">
                  <c:v>0.14726999604282526</c:v>
                </c:pt>
                <c:pt idx="21">
                  <c:v>0.15502104846613185</c:v>
                </c:pt>
                <c:pt idx="22">
                  <c:v>0.16277210088943844</c:v>
                </c:pt>
                <c:pt idx="23">
                  <c:v>0.17052315331274503</c:v>
                </c:pt>
                <c:pt idx="24">
                  <c:v>0.17827420573605163</c:v>
                </c:pt>
                <c:pt idx="25">
                  <c:v>0.18602525815935822</c:v>
                </c:pt>
                <c:pt idx="26">
                  <c:v>0.18860894230046041</c:v>
                </c:pt>
              </c:numCache>
            </c:numRef>
          </c:yVal>
          <c:smooth val="1"/>
        </c:ser>
        <c:ser>
          <c:idx val="3"/>
          <c:order val="7"/>
          <c:tx>
            <c:v>12x6Eトルク</c:v>
          </c:tx>
          <c:spPr>
            <a:ln>
              <a:noFill/>
            </a:ln>
          </c:spPr>
          <c:trendline>
            <c:trendlineType val="poly"/>
            <c:order val="3"/>
            <c:intercept val="0"/>
            <c:dispRSqr val="0"/>
            <c:dispEq val="0"/>
          </c:trendline>
          <c:xVal>
            <c:numRef>
              <c:f>Sheet1!$B$33:$B$39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</c:numCache>
            </c:numRef>
          </c:xVal>
          <c:yVal>
            <c:numRef>
              <c:f>Sheet1!$D$33:$D$39</c:f>
              <c:numCache>
                <c:formatCode>General</c:formatCode>
                <c:ptCount val="7"/>
                <c:pt idx="0">
                  <c:v>6.4401329160000001E-3</c:v>
                </c:pt>
                <c:pt idx="1">
                  <c:v>2.5873516452000003E-2</c:v>
                </c:pt>
                <c:pt idx="2">
                  <c:v>5.8300150608E-2</c:v>
                </c:pt>
                <c:pt idx="3">
                  <c:v>0.10383302017200001</c:v>
                </c:pt>
                <c:pt idx="4">
                  <c:v>0.15885661192799999</c:v>
                </c:pt>
                <c:pt idx="5">
                  <c:v>0.22404883460400002</c:v>
                </c:pt>
                <c:pt idx="6">
                  <c:v>0.30008759692800002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68224"/>
        <c:axId val="239670400"/>
      </c:scatterChart>
      <c:scatterChart>
        <c:scatterStyle val="smoothMarker"/>
        <c:varyColors val="0"/>
        <c:ser>
          <c:idx val="1"/>
          <c:order val="0"/>
          <c:tx>
            <c:v>12x6E推力</c:v>
          </c:tx>
          <c:spPr>
            <a:ln>
              <a:noFill/>
            </a:ln>
          </c:spPr>
          <c:marker>
            <c:symbol val="plus"/>
            <c:size val="7"/>
          </c:marker>
          <c:trendline>
            <c:spPr>
              <a:ln>
                <a:prstDash val="lgDash"/>
              </a:ln>
            </c:spPr>
            <c:trendlineType val="poly"/>
            <c:order val="3"/>
            <c:intercept val="0"/>
            <c:dispRSqr val="0"/>
            <c:dispEq val="0"/>
          </c:trendline>
          <c:xVal>
            <c:numRef>
              <c:f>Sheet1!$B$14:$B$20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</c:numCache>
            </c:numRef>
          </c:xVal>
          <c:yVal>
            <c:numRef>
              <c:f>Sheet1!$D$14:$D$20</c:f>
              <c:numCache>
                <c:formatCode>General</c:formatCode>
                <c:ptCount val="7"/>
                <c:pt idx="0">
                  <c:v>0.24020388000000001</c:v>
                </c:pt>
                <c:pt idx="1">
                  <c:v>0.96081552000000003</c:v>
                </c:pt>
                <c:pt idx="2">
                  <c:v>2.12624916</c:v>
                </c:pt>
                <c:pt idx="3">
                  <c:v>3.8566067400000001</c:v>
                </c:pt>
                <c:pt idx="4">
                  <c:v>6.0317863200000001</c:v>
                </c:pt>
                <c:pt idx="5">
                  <c:v>8.6962700999999996</c:v>
                </c:pt>
                <c:pt idx="6">
                  <c:v>11.86785096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74496"/>
        <c:axId val="239672320"/>
      </c:scatterChart>
      <c:valAx>
        <c:axId val="239668224"/>
        <c:scaling>
          <c:orientation val="minMax"/>
          <c:max val="7000"/>
          <c:min val="10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rpm</a:t>
                </a:r>
                <a:endParaRPr lang="ja-JP" altLang="en-US"/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crossAx val="239670400"/>
        <c:crosses val="autoZero"/>
        <c:crossBetween val="midCat"/>
        <c:majorUnit val="1000"/>
        <c:minorUnit val="250"/>
      </c:valAx>
      <c:valAx>
        <c:axId val="239670400"/>
        <c:scaling>
          <c:orientation val="minMax"/>
          <c:max val="0.2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Torque[Nm]</a:t>
                </a:r>
                <a:endParaRPr lang="ja-JP" altLang="en-US"/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crossAx val="239668224"/>
        <c:crosses val="autoZero"/>
        <c:crossBetween val="midCat"/>
      </c:valAx>
      <c:valAx>
        <c:axId val="239672320"/>
        <c:scaling>
          <c:orientation val="minMax"/>
          <c:max val="14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ja-JP"/>
                  <a:t>Thrust force[N]</a:t>
                </a:r>
                <a:endParaRPr lang="ja-JP" altLang="en-US"/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crossAx val="239674496"/>
        <c:crosses val="max"/>
        <c:crossBetween val="midCat"/>
      </c:valAx>
      <c:valAx>
        <c:axId val="239674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39672320"/>
        <c:crosses val="autoZero"/>
        <c:crossBetween val="midCat"/>
      </c:valAx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8.7669149464425028E-2"/>
          <c:y val="7.2000517872485792E-2"/>
          <c:w val="0.17431283251755691"/>
          <c:h val="0.21623812718477484"/>
        </c:manualLayout>
      </c:layout>
      <c:overlay val="1"/>
      <c:spPr>
        <a:solidFill>
          <a:schemeClr val="bg1"/>
        </a:solidFill>
        <a:ln>
          <a:solidFill>
            <a:schemeClr val="tx1">
              <a:shade val="95000"/>
              <a:satMod val="105000"/>
            </a:schemeClr>
          </a:solidFill>
        </a:ln>
      </c:spPr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静止推力測定!$F$5</c:f>
              <c:strCache>
                <c:ptCount val="1"/>
                <c:pt idx="0">
                  <c:v>force[N]</c:v>
                </c:pt>
              </c:strCache>
            </c:strRef>
          </c:tx>
          <c:spPr>
            <a:ln w="28575">
              <a:noFill/>
            </a:ln>
          </c:spPr>
          <c:xVal>
            <c:numRef>
              <c:f>静止推力測定!$B$6:$B$25</c:f>
              <c:numCache>
                <c:formatCode>General</c:formatCode>
                <c:ptCount val="20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120</c:v>
                </c:pt>
                <c:pt idx="4">
                  <c:v>180</c:v>
                </c:pt>
                <c:pt idx="5">
                  <c:v>240</c:v>
                </c:pt>
                <c:pt idx="6">
                  <c:v>300</c:v>
                </c:pt>
                <c:pt idx="7">
                  <c:v>360</c:v>
                </c:pt>
                <c:pt idx="8">
                  <c:v>420</c:v>
                </c:pt>
                <c:pt idx="9">
                  <c:v>480</c:v>
                </c:pt>
                <c:pt idx="10">
                  <c:v>540</c:v>
                </c:pt>
                <c:pt idx="11">
                  <c:v>600</c:v>
                </c:pt>
                <c:pt idx="12">
                  <c:v>660</c:v>
                </c:pt>
                <c:pt idx="13">
                  <c:v>720</c:v>
                </c:pt>
                <c:pt idx="14">
                  <c:v>780</c:v>
                </c:pt>
                <c:pt idx="15">
                  <c:v>790</c:v>
                </c:pt>
                <c:pt idx="16">
                  <c:v>800</c:v>
                </c:pt>
                <c:pt idx="17">
                  <c:v>810</c:v>
                </c:pt>
                <c:pt idx="18">
                  <c:v>840</c:v>
                </c:pt>
                <c:pt idx="19">
                  <c:v>862</c:v>
                </c:pt>
              </c:numCache>
            </c:numRef>
          </c:xVal>
          <c:yVal>
            <c:numRef>
              <c:f>静止推力測定!$F$6:$F$25</c:f>
              <c:numCache>
                <c:formatCode>General</c:formatCode>
                <c:ptCount val="20"/>
                <c:pt idx="0">
                  <c:v>6.0016697999999993</c:v>
                </c:pt>
                <c:pt idx="1">
                  <c:v>5.741793575</c:v>
                </c:pt>
                <c:pt idx="2">
                  <c:v>5.5554672249999992</c:v>
                </c:pt>
                <c:pt idx="3">
                  <c:v>5.4574007249999994</c:v>
                </c:pt>
                <c:pt idx="4">
                  <c:v>5.3426629199999986</c:v>
                </c:pt>
                <c:pt idx="5">
                  <c:v>5.202427825</c:v>
                </c:pt>
                <c:pt idx="6">
                  <c:v>5.1582979</c:v>
                </c:pt>
                <c:pt idx="7">
                  <c:v>5.0847480249999997</c:v>
                </c:pt>
                <c:pt idx="8">
                  <c:v>5.07003805</c:v>
                </c:pt>
                <c:pt idx="9">
                  <c:v>5.146529919999999</c:v>
                </c:pt>
                <c:pt idx="10">
                  <c:v>4.9670682250000002</c:v>
                </c:pt>
                <c:pt idx="11">
                  <c:v>4.9915848499999989</c:v>
                </c:pt>
                <c:pt idx="12">
                  <c:v>4.8984216749999998</c:v>
                </c:pt>
                <c:pt idx="13">
                  <c:v>4.8052584999999999</c:v>
                </c:pt>
                <c:pt idx="14">
                  <c:v>4.61893215</c:v>
                </c:pt>
                <c:pt idx="15">
                  <c:v>4.4375091249999992</c:v>
                </c:pt>
                <c:pt idx="16">
                  <c:v>4.2119561749999992</c:v>
                </c:pt>
                <c:pt idx="17">
                  <c:v>2.8390251749999997</c:v>
                </c:pt>
                <c:pt idx="18">
                  <c:v>0.45600922499999996</c:v>
                </c:pt>
                <c:pt idx="1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880448"/>
        <c:axId val="239882624"/>
      </c:scatterChart>
      <c:valAx>
        <c:axId val="239880448"/>
        <c:scaling>
          <c:orientation val="minMax"/>
          <c:max val="900"/>
        </c:scaling>
        <c:delete val="0"/>
        <c:axPos val="b"/>
        <c:title>
          <c:tx>
            <c:rich>
              <a:bodyPr/>
              <a:lstStyle/>
              <a:p>
                <a:pPr>
                  <a:defRPr sz="1400">
                    <a:latin typeface="+mj-ea"/>
                    <a:ea typeface="+mj-ea"/>
                  </a:defRPr>
                </a:pPr>
                <a:r>
                  <a:rPr lang="en-US" altLang="ja-JP" sz="1400">
                    <a:latin typeface="+mj-ea"/>
                    <a:ea typeface="+mj-ea"/>
                  </a:rPr>
                  <a:t>Time[s]</a:t>
                </a:r>
                <a:endParaRPr lang="ja-JP" altLang="en-US" sz="140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39882624"/>
        <c:crosses val="autoZero"/>
        <c:crossBetween val="midCat"/>
      </c:valAx>
      <c:valAx>
        <c:axId val="2398826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>
                    <a:latin typeface="+mj-ea"/>
                    <a:ea typeface="+mj-ea"/>
                  </a:defRPr>
                </a:pPr>
                <a:r>
                  <a:rPr lang="en-US" altLang="ja-JP" sz="1400">
                    <a:latin typeface="+mj-ea"/>
                    <a:ea typeface="+mj-ea"/>
                  </a:rPr>
                  <a:t>Thrust Force[N]</a:t>
                </a:r>
                <a:endParaRPr lang="ja-JP" altLang="en-US" sz="1400">
                  <a:latin typeface="+mj-ea"/>
                  <a:ea typeface="+mj-ea"/>
                </a:endParaRP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39880448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1"/>
          <c:tx>
            <c:strRef>
              <c:f>静止推力測定!$F$5</c:f>
              <c:strCache>
                <c:ptCount val="1"/>
                <c:pt idx="0">
                  <c:v>force[N]</c:v>
                </c:pt>
              </c:strCache>
            </c:strRef>
          </c:tx>
          <c:spPr>
            <a:ln w="28575">
              <a:noFill/>
            </a:ln>
          </c:spPr>
          <c:xVal>
            <c:numRef>
              <c:f>静止推力測定!$D$6:$D$25</c:f>
              <c:numCache>
                <c:formatCode>General</c:formatCode>
                <c:ptCount val="20"/>
                <c:pt idx="0">
                  <c:v>5040</c:v>
                </c:pt>
                <c:pt idx="1">
                  <c:v>4988.7</c:v>
                </c:pt>
                <c:pt idx="2">
                  <c:v>4933.8</c:v>
                </c:pt>
                <c:pt idx="3">
                  <c:v>4839.3</c:v>
                </c:pt>
                <c:pt idx="4">
                  <c:v>4797.3</c:v>
                </c:pt>
                <c:pt idx="5">
                  <c:v>4764</c:v>
                </c:pt>
                <c:pt idx="6">
                  <c:v>4714.2</c:v>
                </c:pt>
                <c:pt idx="7">
                  <c:v>4692.3</c:v>
                </c:pt>
                <c:pt idx="8">
                  <c:v>4647</c:v>
                </c:pt>
                <c:pt idx="9">
                  <c:v>4621.5</c:v>
                </c:pt>
                <c:pt idx="10">
                  <c:v>4638</c:v>
                </c:pt>
                <c:pt idx="11">
                  <c:v>4635.8999999999996</c:v>
                </c:pt>
                <c:pt idx="12">
                  <c:v>4612.7999999999993</c:v>
                </c:pt>
                <c:pt idx="13">
                  <c:v>4574.7000000000007</c:v>
                </c:pt>
                <c:pt idx="14">
                  <c:v>4431.8999999999996</c:v>
                </c:pt>
                <c:pt idx="15">
                  <c:v>4413.3</c:v>
                </c:pt>
                <c:pt idx="16">
                  <c:v>4307.7</c:v>
                </c:pt>
                <c:pt idx="17">
                  <c:v>3513</c:v>
                </c:pt>
                <c:pt idx="18">
                  <c:v>1489.5</c:v>
                </c:pt>
                <c:pt idx="19">
                  <c:v>0</c:v>
                </c:pt>
              </c:numCache>
            </c:numRef>
          </c:xVal>
          <c:yVal>
            <c:numRef>
              <c:f>静止推力測定!$F$6:$F$25</c:f>
              <c:numCache>
                <c:formatCode>General</c:formatCode>
                <c:ptCount val="20"/>
                <c:pt idx="0">
                  <c:v>6.0016697999999993</c:v>
                </c:pt>
                <c:pt idx="1">
                  <c:v>5.741793575</c:v>
                </c:pt>
                <c:pt idx="2">
                  <c:v>5.5554672249999992</c:v>
                </c:pt>
                <c:pt idx="3">
                  <c:v>5.4574007249999994</c:v>
                </c:pt>
                <c:pt idx="4">
                  <c:v>5.3426629199999986</c:v>
                </c:pt>
                <c:pt idx="5">
                  <c:v>5.202427825</c:v>
                </c:pt>
                <c:pt idx="6">
                  <c:v>5.1582979</c:v>
                </c:pt>
                <c:pt idx="7">
                  <c:v>5.0847480249999997</c:v>
                </c:pt>
                <c:pt idx="8">
                  <c:v>5.07003805</c:v>
                </c:pt>
                <c:pt idx="9">
                  <c:v>5.146529919999999</c:v>
                </c:pt>
                <c:pt idx="10">
                  <c:v>4.9670682250000002</c:v>
                </c:pt>
                <c:pt idx="11">
                  <c:v>4.9915848499999989</c:v>
                </c:pt>
                <c:pt idx="12">
                  <c:v>4.8984216749999998</c:v>
                </c:pt>
                <c:pt idx="13">
                  <c:v>4.8052584999999999</c:v>
                </c:pt>
                <c:pt idx="14">
                  <c:v>4.61893215</c:v>
                </c:pt>
                <c:pt idx="15">
                  <c:v>4.4375091249999992</c:v>
                </c:pt>
                <c:pt idx="16">
                  <c:v>4.2119561749999992</c:v>
                </c:pt>
                <c:pt idx="17">
                  <c:v>2.8390251749999997</c:v>
                </c:pt>
                <c:pt idx="18">
                  <c:v>0.45600922499999996</c:v>
                </c:pt>
                <c:pt idx="19">
                  <c:v>0</c:v>
                </c:pt>
              </c:numCache>
            </c:numRef>
          </c:yVal>
          <c:smooth val="1"/>
        </c:ser>
        <c:ser>
          <c:idx val="1"/>
          <c:order val="0"/>
          <c:tx>
            <c:v>12x6E推力</c:v>
          </c:tx>
          <c:spPr>
            <a:ln>
              <a:noFill/>
            </a:ln>
          </c:spPr>
          <c:marker>
            <c:symbol val="plus"/>
            <c:size val="7"/>
          </c:marker>
          <c:trendline>
            <c:spPr>
              <a:ln>
                <a:prstDash val="lgDash"/>
              </a:ln>
            </c:spPr>
            <c:trendlineType val="poly"/>
            <c:order val="3"/>
            <c:intercept val="0"/>
            <c:dispRSqr val="0"/>
            <c:dispEq val="0"/>
          </c:trendline>
          <c:xVal>
            <c:numRef>
              <c:f>Sheet1!$B$14:$B$20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</c:numCache>
            </c:numRef>
          </c:xVal>
          <c:yVal>
            <c:numRef>
              <c:f>Sheet1!$D$14:$D$20</c:f>
              <c:numCache>
                <c:formatCode>General</c:formatCode>
                <c:ptCount val="7"/>
                <c:pt idx="0">
                  <c:v>0.24020388000000001</c:v>
                </c:pt>
                <c:pt idx="1">
                  <c:v>0.96081552000000003</c:v>
                </c:pt>
                <c:pt idx="2">
                  <c:v>2.12624916</c:v>
                </c:pt>
                <c:pt idx="3">
                  <c:v>3.8566067400000001</c:v>
                </c:pt>
                <c:pt idx="4">
                  <c:v>6.0317863200000001</c:v>
                </c:pt>
                <c:pt idx="5">
                  <c:v>8.6962700999999996</c:v>
                </c:pt>
                <c:pt idx="6">
                  <c:v>11.86785096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156544"/>
        <c:axId val="250158464"/>
      </c:scatterChart>
      <c:valAx>
        <c:axId val="250156544"/>
        <c:scaling>
          <c:orientation val="minMax"/>
          <c:max val="6000"/>
          <c:min val="100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rpm</a:t>
                </a:r>
                <a:endParaRPr lang="ja-JP" altLang="en-US" sz="1400"/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crossAx val="250158464"/>
        <c:crosses val="autoZero"/>
        <c:crossBetween val="midCat"/>
        <c:majorUnit val="1000"/>
        <c:minorUnit val="250"/>
      </c:valAx>
      <c:valAx>
        <c:axId val="250158464"/>
        <c:scaling>
          <c:orientation val="minMax"/>
          <c:max val="8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ja-JP" sz="1400"/>
                  <a:t>Thrust Force[N]</a:t>
                </a:r>
              </a:p>
            </c:rich>
          </c:tx>
          <c:layout>
            <c:manualLayout>
              <c:xMode val="edge"/>
              <c:yMode val="edge"/>
              <c:x val="1.5042735042735043E-2"/>
              <c:y val="0.43818135255650154"/>
            </c:manualLayout>
          </c:layout>
          <c:overlay val="0"/>
        </c:title>
        <c:numFmt formatCode="General" sourceLinked="1"/>
        <c:majorTickMark val="in"/>
        <c:minorTickMark val="in"/>
        <c:tickLblPos val="nextTo"/>
        <c:crossAx val="250156544"/>
        <c:crosses val="autoZero"/>
        <c:crossBetween val="midCat"/>
      </c:valAx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1365200888350495"/>
          <c:y val="0.12181021072477195"/>
          <c:w val="0.11414183996231241"/>
          <c:h val="0.12953224873271274"/>
        </c:manualLayout>
      </c:layout>
      <c:overlay val="1"/>
      <c:spPr>
        <a:solidFill>
          <a:schemeClr val="bg1"/>
        </a:solidFill>
        <a:ln>
          <a:solidFill>
            <a:schemeClr val="tx1">
              <a:shade val="95000"/>
              <a:satMod val="105000"/>
            </a:schemeClr>
          </a:solidFill>
        </a:ln>
      </c:spPr>
      <c:txPr>
        <a:bodyPr/>
        <a:lstStyle/>
        <a:p>
          <a:pPr>
            <a:defRPr sz="14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1"/>
          <c:tx>
            <c:strRef>
              <c:f>'Z2209-32'!$D$3:$E$3</c:f>
              <c:strCache>
                <c:ptCount val="1"/>
                <c:pt idx="0">
                  <c:v>Z2209-32</c:v>
                </c:pt>
              </c:strCache>
            </c:strRef>
          </c:tx>
          <c:spPr>
            <a:ln w="28575">
              <a:noFill/>
            </a:ln>
          </c:spPr>
          <c:marker>
            <c:spPr>
              <a:noFill/>
            </c:spPr>
          </c:marker>
          <c:trendline>
            <c:spPr>
              <a:ln>
                <a:solidFill>
                  <a:schemeClr val="tx1"/>
                </a:solidFill>
                <a:prstDash val="dashDot"/>
              </a:ln>
            </c:spPr>
            <c:trendlineType val="linear"/>
            <c:dispRSqr val="0"/>
            <c:dispEq val="0"/>
          </c:trendline>
          <c:xVal>
            <c:numRef>
              <c:f>'Z2209-32'!$H$3:$H$25</c:f>
              <c:numCache>
                <c:formatCode>General</c:formatCode>
                <c:ptCount val="23"/>
                <c:pt idx="1">
                  <c:v>6097</c:v>
                </c:pt>
                <c:pt idx="2">
                  <c:v>6006.91</c:v>
                </c:pt>
                <c:pt idx="3">
                  <c:v>5916.82</c:v>
                </c:pt>
                <c:pt idx="4">
                  <c:v>5826.73</c:v>
                </c:pt>
                <c:pt idx="5">
                  <c:v>5736.6399999999994</c:v>
                </c:pt>
                <c:pt idx="6">
                  <c:v>5646.5499999999993</c:v>
                </c:pt>
                <c:pt idx="7">
                  <c:v>5556.4599999999991</c:v>
                </c:pt>
                <c:pt idx="8">
                  <c:v>5466.369999999999</c:v>
                </c:pt>
                <c:pt idx="9">
                  <c:v>5376.2799999999988</c:v>
                </c:pt>
                <c:pt idx="10">
                  <c:v>5286.1899999999987</c:v>
                </c:pt>
                <c:pt idx="11">
                  <c:v>5196.0999999999985</c:v>
                </c:pt>
                <c:pt idx="12">
                  <c:v>5106.0099999999984</c:v>
                </c:pt>
                <c:pt idx="13">
                  <c:v>5015.9199999999983</c:v>
                </c:pt>
                <c:pt idx="14">
                  <c:v>4925.8299999999981</c:v>
                </c:pt>
                <c:pt idx="15">
                  <c:v>4835.739999999998</c:v>
                </c:pt>
                <c:pt idx="16">
                  <c:v>4745.6499999999978</c:v>
                </c:pt>
                <c:pt idx="17">
                  <c:v>4655.5599999999977</c:v>
                </c:pt>
                <c:pt idx="18">
                  <c:v>4565.4699999999975</c:v>
                </c:pt>
                <c:pt idx="19">
                  <c:v>4475.3799999999974</c:v>
                </c:pt>
                <c:pt idx="20">
                  <c:v>4385.2899999999972</c:v>
                </c:pt>
                <c:pt idx="21">
                  <c:v>4295.1999999999971</c:v>
                </c:pt>
                <c:pt idx="22">
                  <c:v>4221.4899999999971</c:v>
                </c:pt>
              </c:numCache>
            </c:numRef>
          </c:xVal>
          <c:yVal>
            <c:numRef>
              <c:f>'Z2209-32'!$G$3:$G$25</c:f>
              <c:numCache>
                <c:formatCode>General</c:formatCode>
                <c:ptCount val="23"/>
                <c:pt idx="1">
                  <c:v>0</c:v>
                </c:pt>
                <c:pt idx="2">
                  <c:v>5.771552881354447E-3</c:v>
                </c:pt>
                <c:pt idx="3">
                  <c:v>1.1543105762708894E-2</c:v>
                </c:pt>
                <c:pt idx="4">
                  <c:v>1.7314658644063341E-2</c:v>
                </c:pt>
                <c:pt idx="5">
                  <c:v>2.3086211525417788E-2</c:v>
                </c:pt>
                <c:pt idx="6">
                  <c:v>2.8857764406772235E-2</c:v>
                </c:pt>
                <c:pt idx="7">
                  <c:v>3.4629317288126675E-2</c:v>
                </c:pt>
                <c:pt idx="8">
                  <c:v>4.0400870169481122E-2</c:v>
                </c:pt>
                <c:pt idx="9">
                  <c:v>4.6172423050835569E-2</c:v>
                </c:pt>
                <c:pt idx="10">
                  <c:v>5.1943975932190009E-2</c:v>
                </c:pt>
                <c:pt idx="11">
                  <c:v>5.7715528813544456E-2</c:v>
                </c:pt>
                <c:pt idx="12">
                  <c:v>6.3487081694898903E-2</c:v>
                </c:pt>
                <c:pt idx="13">
                  <c:v>6.925863457625335E-2</c:v>
                </c:pt>
                <c:pt idx="14">
                  <c:v>7.5030187457607797E-2</c:v>
                </c:pt>
                <c:pt idx="15">
                  <c:v>8.080174033896223E-2</c:v>
                </c:pt>
                <c:pt idx="16">
                  <c:v>8.6573293220316691E-2</c:v>
                </c:pt>
                <c:pt idx="17">
                  <c:v>9.2344846101671138E-2</c:v>
                </c:pt>
                <c:pt idx="18">
                  <c:v>9.8116398983025599E-2</c:v>
                </c:pt>
                <c:pt idx="19">
                  <c:v>0.10388795186438005</c:v>
                </c:pt>
                <c:pt idx="20">
                  <c:v>0.10965950474573451</c:v>
                </c:pt>
                <c:pt idx="21">
                  <c:v>0.11543105762708895</c:v>
                </c:pt>
                <c:pt idx="22">
                  <c:v>0.12015323725728802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'Z2213-24'!$D$3:$E$3</c:f>
              <c:strCache>
                <c:ptCount val="1"/>
                <c:pt idx="0">
                  <c:v>Z2213-24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6"/>
            <c:spPr>
              <a:noFill/>
            </c:spPr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'Z2213-24'!$H$3:$H$30</c:f>
              <c:numCache>
                <c:formatCode>General</c:formatCode>
                <c:ptCount val="28"/>
                <c:pt idx="1">
                  <c:v>5695</c:v>
                </c:pt>
                <c:pt idx="2">
                  <c:v>5626.15</c:v>
                </c:pt>
                <c:pt idx="3">
                  <c:v>5557.2999999999993</c:v>
                </c:pt>
                <c:pt idx="4">
                  <c:v>5488.4499999999989</c:v>
                </c:pt>
                <c:pt idx="5">
                  <c:v>5419.5999999999985</c:v>
                </c:pt>
                <c:pt idx="6">
                  <c:v>5350.7499999999982</c:v>
                </c:pt>
                <c:pt idx="7">
                  <c:v>5281.8999999999978</c:v>
                </c:pt>
                <c:pt idx="8">
                  <c:v>5213.0499999999975</c:v>
                </c:pt>
                <c:pt idx="9">
                  <c:v>5144.1999999999971</c:v>
                </c:pt>
                <c:pt idx="10">
                  <c:v>5075.3499999999976</c:v>
                </c:pt>
                <c:pt idx="11">
                  <c:v>5006.4999999999973</c:v>
                </c:pt>
                <c:pt idx="12">
                  <c:v>4937.6499999999978</c:v>
                </c:pt>
                <c:pt idx="13">
                  <c:v>4868.7999999999975</c:v>
                </c:pt>
                <c:pt idx="14">
                  <c:v>4799.9499999999971</c:v>
                </c:pt>
                <c:pt idx="15">
                  <c:v>4731.0999999999976</c:v>
                </c:pt>
                <c:pt idx="16">
                  <c:v>4662.2499999999982</c:v>
                </c:pt>
                <c:pt idx="17">
                  <c:v>4593.3999999999978</c:v>
                </c:pt>
                <c:pt idx="18">
                  <c:v>4524.5499999999984</c:v>
                </c:pt>
                <c:pt idx="19">
                  <c:v>4455.699999999998</c:v>
                </c:pt>
                <c:pt idx="20">
                  <c:v>4386.8499999999976</c:v>
                </c:pt>
                <c:pt idx="21">
                  <c:v>4317.9999999999982</c:v>
                </c:pt>
                <c:pt idx="22">
                  <c:v>4249.1499999999978</c:v>
                </c:pt>
                <c:pt idx="23">
                  <c:v>4180.2999999999975</c:v>
                </c:pt>
                <c:pt idx="24">
                  <c:v>4111.449999999998</c:v>
                </c:pt>
                <c:pt idx="25">
                  <c:v>4042.5999999999981</c:v>
                </c:pt>
                <c:pt idx="26">
                  <c:v>3973.7499999999982</c:v>
                </c:pt>
                <c:pt idx="27">
                  <c:v>3927.8499999999976</c:v>
                </c:pt>
              </c:numCache>
            </c:numRef>
          </c:xVal>
          <c:yVal>
            <c:numRef>
              <c:f>'Z2213-24'!$G$3:$G$30</c:f>
              <c:numCache>
                <c:formatCode>General</c:formatCode>
                <c:ptCount val="28"/>
                <c:pt idx="1">
                  <c:v>0</c:v>
                </c:pt>
                <c:pt idx="2">
                  <c:v>6.7406799427155674E-3</c:v>
                </c:pt>
                <c:pt idx="3">
                  <c:v>1.3481359885431133E-2</c:v>
                </c:pt>
                <c:pt idx="4">
                  <c:v>2.0222039828146701E-2</c:v>
                </c:pt>
                <c:pt idx="5">
                  <c:v>2.6962719770862269E-2</c:v>
                </c:pt>
                <c:pt idx="6">
                  <c:v>3.3703399713577845E-2</c:v>
                </c:pt>
                <c:pt idx="7">
                  <c:v>4.0444079656293409E-2</c:v>
                </c:pt>
                <c:pt idx="8">
                  <c:v>4.7184759599008974E-2</c:v>
                </c:pt>
                <c:pt idx="9">
                  <c:v>5.3925439541724539E-2</c:v>
                </c:pt>
                <c:pt idx="10">
                  <c:v>6.0666119484440097E-2</c:v>
                </c:pt>
                <c:pt idx="11">
                  <c:v>6.7406799427155661E-2</c:v>
                </c:pt>
                <c:pt idx="12">
                  <c:v>7.4147479369871219E-2</c:v>
                </c:pt>
                <c:pt idx="13">
                  <c:v>8.0888159312586791E-2</c:v>
                </c:pt>
                <c:pt idx="14">
                  <c:v>8.7628839255302363E-2</c:v>
                </c:pt>
                <c:pt idx="15">
                  <c:v>9.436951919801792E-2</c:v>
                </c:pt>
                <c:pt idx="16">
                  <c:v>0.10111019914073348</c:v>
                </c:pt>
                <c:pt idx="17">
                  <c:v>0.10785087908344905</c:v>
                </c:pt>
                <c:pt idx="18">
                  <c:v>0.11459155902616461</c:v>
                </c:pt>
                <c:pt idx="19">
                  <c:v>0.12133223896888018</c:v>
                </c:pt>
                <c:pt idx="20">
                  <c:v>0.12807291891159575</c:v>
                </c:pt>
                <c:pt idx="21">
                  <c:v>0.1348135988543113</c:v>
                </c:pt>
                <c:pt idx="22">
                  <c:v>0.14155427879702687</c:v>
                </c:pt>
                <c:pt idx="23">
                  <c:v>0.14829495873974244</c:v>
                </c:pt>
                <c:pt idx="24">
                  <c:v>0.15503563868245798</c:v>
                </c:pt>
                <c:pt idx="25">
                  <c:v>0.16177631862517355</c:v>
                </c:pt>
                <c:pt idx="26">
                  <c:v>0.16851699856788913</c:v>
                </c:pt>
                <c:pt idx="27">
                  <c:v>0.17301078519636623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'ZS2209-30'!$D$3:$E$3</c:f>
              <c:strCache>
                <c:ptCount val="1"/>
                <c:pt idx="0">
                  <c:v>ZS2209-30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6"/>
            <c:spPr>
              <a:noFill/>
            </c:spPr>
          </c:marker>
          <c:trendline>
            <c:name>ZS2209-30</c:name>
            <c:spPr>
              <a:ln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'ZS2209-30'!$H$3:$H$41</c:f>
              <c:numCache>
                <c:formatCode>General</c:formatCode>
                <c:ptCount val="39"/>
                <c:pt idx="1">
                  <c:v>6365</c:v>
                </c:pt>
                <c:pt idx="2">
                  <c:v>6296.1724999999997</c:v>
                </c:pt>
                <c:pt idx="3">
                  <c:v>6227.3449999999993</c:v>
                </c:pt>
                <c:pt idx="4">
                  <c:v>6158.517499999999</c:v>
                </c:pt>
                <c:pt idx="5">
                  <c:v>6089.6899999999987</c:v>
                </c:pt>
                <c:pt idx="6">
                  <c:v>6020.8624999999984</c:v>
                </c:pt>
                <c:pt idx="7">
                  <c:v>5952.034999999998</c:v>
                </c:pt>
                <c:pt idx="8">
                  <c:v>5883.2074999999977</c:v>
                </c:pt>
                <c:pt idx="9">
                  <c:v>5814.3799999999974</c:v>
                </c:pt>
                <c:pt idx="10">
                  <c:v>5745.5524999999971</c:v>
                </c:pt>
                <c:pt idx="11">
                  <c:v>5676.7249999999967</c:v>
                </c:pt>
                <c:pt idx="12">
                  <c:v>5607.8974999999964</c:v>
                </c:pt>
                <c:pt idx="13">
                  <c:v>5539.0699999999961</c:v>
                </c:pt>
                <c:pt idx="14">
                  <c:v>5470.2424999999957</c:v>
                </c:pt>
                <c:pt idx="15">
                  <c:v>5401.4149999999954</c:v>
                </c:pt>
                <c:pt idx="16">
                  <c:v>5332.5874999999951</c:v>
                </c:pt>
                <c:pt idx="17">
                  <c:v>5263.7599999999948</c:v>
                </c:pt>
                <c:pt idx="18">
                  <c:v>5194.9324999999953</c:v>
                </c:pt>
                <c:pt idx="19">
                  <c:v>5126.1049999999959</c:v>
                </c:pt>
                <c:pt idx="20">
                  <c:v>5057.2774999999956</c:v>
                </c:pt>
                <c:pt idx="21">
                  <c:v>4988.4499999999962</c:v>
                </c:pt>
                <c:pt idx="22">
                  <c:v>4919.6224999999968</c:v>
                </c:pt>
                <c:pt idx="23">
                  <c:v>4850.7949999999973</c:v>
                </c:pt>
                <c:pt idx="24">
                  <c:v>4781.967499999997</c:v>
                </c:pt>
                <c:pt idx="25">
                  <c:v>4713.1399999999976</c:v>
                </c:pt>
                <c:pt idx="26">
                  <c:v>4644.3124999999982</c:v>
                </c:pt>
                <c:pt idx="27">
                  <c:v>4575.4849999999988</c:v>
                </c:pt>
                <c:pt idx="28">
                  <c:v>4506.6574999999984</c:v>
                </c:pt>
                <c:pt idx="29">
                  <c:v>4437.8299999999981</c:v>
                </c:pt>
                <c:pt idx="30">
                  <c:v>4369.0024999999987</c:v>
                </c:pt>
                <c:pt idx="31">
                  <c:v>4300.1749999999984</c:v>
                </c:pt>
                <c:pt idx="32">
                  <c:v>4231.3474999999989</c:v>
                </c:pt>
                <c:pt idx="33">
                  <c:v>4162.5199999999986</c:v>
                </c:pt>
                <c:pt idx="34">
                  <c:v>4093.6924999999987</c:v>
                </c:pt>
                <c:pt idx="35">
                  <c:v>4024.8649999999993</c:v>
                </c:pt>
                <c:pt idx="36">
                  <c:v>3956.0374999999995</c:v>
                </c:pt>
                <c:pt idx="37">
                  <c:v>3887.2099999999996</c:v>
                </c:pt>
                <c:pt idx="38">
                  <c:v>3833.677499999998</c:v>
                </c:pt>
              </c:numCache>
            </c:numRef>
          </c:xVal>
          <c:yVal>
            <c:numRef>
              <c:f>'ZS2209-30'!$G$3:$G$41</c:f>
              <c:numCache>
                <c:formatCode>General</c:formatCode>
                <c:ptCount val="39"/>
                <c:pt idx="1">
                  <c:v>0</c:v>
                </c:pt>
                <c:pt idx="2">
                  <c:v>4.5233510141907103E-3</c:v>
                </c:pt>
                <c:pt idx="3">
                  <c:v>9.046702028381419E-3</c:v>
                </c:pt>
                <c:pt idx="4">
                  <c:v>1.3570053042572132E-2</c:v>
                </c:pt>
                <c:pt idx="5">
                  <c:v>1.8093404056762841E-2</c:v>
                </c:pt>
                <c:pt idx="6">
                  <c:v>2.2616755070953551E-2</c:v>
                </c:pt>
                <c:pt idx="7">
                  <c:v>2.714010608514426E-2</c:v>
                </c:pt>
                <c:pt idx="8">
                  <c:v>3.166345709933497E-2</c:v>
                </c:pt>
                <c:pt idx="9">
                  <c:v>3.6186808113525683E-2</c:v>
                </c:pt>
                <c:pt idx="10">
                  <c:v>4.0710159127716396E-2</c:v>
                </c:pt>
                <c:pt idx="11">
                  <c:v>4.5233510141907109E-2</c:v>
                </c:pt>
                <c:pt idx="12">
                  <c:v>4.9756861156097822E-2</c:v>
                </c:pt>
                <c:pt idx="13">
                  <c:v>5.4280212170288528E-2</c:v>
                </c:pt>
                <c:pt idx="14">
                  <c:v>5.8803563184479241E-2</c:v>
                </c:pt>
                <c:pt idx="15">
                  <c:v>6.3326914198669954E-2</c:v>
                </c:pt>
                <c:pt idx="16">
                  <c:v>6.7850265212860666E-2</c:v>
                </c:pt>
                <c:pt idx="17">
                  <c:v>7.2373616227051379E-2</c:v>
                </c:pt>
                <c:pt idx="18">
                  <c:v>7.6896967241242078E-2</c:v>
                </c:pt>
                <c:pt idx="19">
                  <c:v>8.1420318255432778E-2</c:v>
                </c:pt>
                <c:pt idx="20">
                  <c:v>8.5943669269623491E-2</c:v>
                </c:pt>
                <c:pt idx="21">
                  <c:v>9.046702028381419E-2</c:v>
                </c:pt>
                <c:pt idx="22">
                  <c:v>9.4990371298004889E-2</c:v>
                </c:pt>
                <c:pt idx="23">
                  <c:v>9.9513722312195588E-2</c:v>
                </c:pt>
                <c:pt idx="24">
                  <c:v>0.1040370733263863</c:v>
                </c:pt>
                <c:pt idx="25">
                  <c:v>0.108560424340577</c:v>
                </c:pt>
                <c:pt idx="26">
                  <c:v>0.1130837753547677</c:v>
                </c:pt>
                <c:pt idx="27">
                  <c:v>0.1176071263689584</c:v>
                </c:pt>
                <c:pt idx="28">
                  <c:v>0.12213047738314911</c:v>
                </c:pt>
                <c:pt idx="29">
                  <c:v>0.12665382839733982</c:v>
                </c:pt>
                <c:pt idx="30">
                  <c:v>0.13117717941153051</c:v>
                </c:pt>
                <c:pt idx="31">
                  <c:v>0.13570053042572122</c:v>
                </c:pt>
                <c:pt idx="32">
                  <c:v>0.14022388143991191</c:v>
                </c:pt>
                <c:pt idx="33">
                  <c:v>0.14474723245410262</c:v>
                </c:pt>
                <c:pt idx="34">
                  <c:v>0.14927058346829333</c:v>
                </c:pt>
                <c:pt idx="35">
                  <c:v>0.15379393448248402</c:v>
                </c:pt>
                <c:pt idx="36">
                  <c:v>0.15831728549667473</c:v>
                </c:pt>
                <c:pt idx="37">
                  <c:v>0.16284063651086544</c:v>
                </c:pt>
                <c:pt idx="38">
                  <c:v>0.16635879841079165</c:v>
                </c:pt>
              </c:numCache>
            </c:numRef>
          </c:yVal>
          <c:smooth val="1"/>
        </c:ser>
        <c:ser>
          <c:idx val="5"/>
          <c:order val="4"/>
          <c:tx>
            <c:strRef>
              <c:f>'ZS2213-22'!$D$3:$E$3</c:f>
              <c:strCache>
                <c:ptCount val="1"/>
                <c:pt idx="0">
                  <c:v>ZS2213-22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noFill/>
            </c:spPr>
          </c:marker>
          <c:trendline>
            <c:name>ZS2213-22</c:name>
            <c:spPr>
              <a:ln cmpd="sng">
                <a:solidFill>
                  <a:schemeClr val="tx1"/>
                </a:solidFill>
                <a:prstDash val="dash"/>
              </a:ln>
            </c:spPr>
            <c:trendlineType val="linear"/>
            <c:dispRSqr val="0"/>
            <c:dispEq val="0"/>
          </c:trendline>
          <c:xVal>
            <c:numRef>
              <c:f>'ZS2213-22'!$H$3:$H$49</c:f>
              <c:numCache>
                <c:formatCode>General</c:formatCode>
                <c:ptCount val="47"/>
                <c:pt idx="1">
                  <c:v>5775.4000000000005</c:v>
                </c:pt>
                <c:pt idx="2">
                  <c:v>5729.4036800000003</c:v>
                </c:pt>
                <c:pt idx="3">
                  <c:v>5683.4073600000002</c:v>
                </c:pt>
                <c:pt idx="4">
                  <c:v>5637.41104</c:v>
                </c:pt>
                <c:pt idx="5">
                  <c:v>5591.4147199999998</c:v>
                </c:pt>
                <c:pt idx="6">
                  <c:v>5545.4183999999996</c:v>
                </c:pt>
                <c:pt idx="7">
                  <c:v>5499.4220799999994</c:v>
                </c:pt>
                <c:pt idx="8">
                  <c:v>5453.4257599999992</c:v>
                </c:pt>
                <c:pt idx="9">
                  <c:v>5407.429439999999</c:v>
                </c:pt>
                <c:pt idx="10">
                  <c:v>5361.4331199999988</c:v>
                </c:pt>
                <c:pt idx="11">
                  <c:v>5315.4367999999986</c:v>
                </c:pt>
                <c:pt idx="12">
                  <c:v>5269.4404799999984</c:v>
                </c:pt>
                <c:pt idx="13">
                  <c:v>5223.4441599999982</c:v>
                </c:pt>
                <c:pt idx="14">
                  <c:v>5177.447839999998</c:v>
                </c:pt>
                <c:pt idx="15">
                  <c:v>5131.4515199999978</c:v>
                </c:pt>
                <c:pt idx="16">
                  <c:v>5085.4551999999976</c:v>
                </c:pt>
                <c:pt idx="17">
                  <c:v>5039.4588799999974</c:v>
                </c:pt>
                <c:pt idx="18">
                  <c:v>4993.4625599999972</c:v>
                </c:pt>
                <c:pt idx="19">
                  <c:v>4947.466239999997</c:v>
                </c:pt>
                <c:pt idx="20">
                  <c:v>4901.4699199999968</c:v>
                </c:pt>
                <c:pt idx="21">
                  <c:v>4855.4735999999966</c:v>
                </c:pt>
                <c:pt idx="22">
                  <c:v>4809.4772799999964</c:v>
                </c:pt>
                <c:pt idx="23">
                  <c:v>4763.4809599999962</c:v>
                </c:pt>
                <c:pt idx="24">
                  <c:v>4717.484639999996</c:v>
                </c:pt>
                <c:pt idx="25">
                  <c:v>4671.4883199999958</c:v>
                </c:pt>
                <c:pt idx="26">
                  <c:v>4625.4919999999956</c:v>
                </c:pt>
                <c:pt idx="27">
                  <c:v>4579.4956799999954</c:v>
                </c:pt>
                <c:pt idx="28">
                  <c:v>4533.4993599999952</c:v>
                </c:pt>
                <c:pt idx="29">
                  <c:v>4487.5030399999951</c:v>
                </c:pt>
                <c:pt idx="30">
                  <c:v>4441.5067199999949</c:v>
                </c:pt>
                <c:pt idx="31">
                  <c:v>4395.5103999999947</c:v>
                </c:pt>
                <c:pt idx="32">
                  <c:v>4349.5140799999945</c:v>
                </c:pt>
                <c:pt idx="33">
                  <c:v>4303.5177599999943</c:v>
                </c:pt>
                <c:pt idx="34">
                  <c:v>4257.5214399999941</c:v>
                </c:pt>
                <c:pt idx="35">
                  <c:v>4211.5251199999939</c:v>
                </c:pt>
                <c:pt idx="36">
                  <c:v>4165.5287999999937</c:v>
                </c:pt>
                <c:pt idx="37">
                  <c:v>4119.5324799999935</c:v>
                </c:pt>
                <c:pt idx="38">
                  <c:v>4073.5361599999933</c:v>
                </c:pt>
                <c:pt idx="39">
                  <c:v>4027.5398399999931</c:v>
                </c:pt>
                <c:pt idx="40">
                  <c:v>3981.5435199999929</c:v>
                </c:pt>
                <c:pt idx="41">
                  <c:v>3935.5471999999927</c:v>
                </c:pt>
                <c:pt idx="42">
                  <c:v>3889.5508799999925</c:v>
                </c:pt>
                <c:pt idx="43">
                  <c:v>3843.5545599999923</c:v>
                </c:pt>
                <c:pt idx="44">
                  <c:v>3797.5582399999921</c:v>
                </c:pt>
                <c:pt idx="45">
                  <c:v>3751.5619199999919</c:v>
                </c:pt>
                <c:pt idx="46">
                  <c:v>3721.5643199999945</c:v>
                </c:pt>
              </c:numCache>
            </c:numRef>
          </c:xVal>
          <c:yVal>
            <c:numRef>
              <c:f>'ZS2213-22'!$G$3:$G$49</c:f>
              <c:numCache>
                <c:formatCode>General</c:formatCode>
                <c:ptCount val="47"/>
                <c:pt idx="1">
                  <c:v>0</c:v>
                </c:pt>
                <c:pt idx="2">
                  <c:v>5.0959123310166032E-3</c:v>
                </c:pt>
                <c:pt idx="3">
                  <c:v>1.0191824662033208E-2</c:v>
                </c:pt>
                <c:pt idx="4">
                  <c:v>1.5287736993049809E-2</c:v>
                </c:pt>
                <c:pt idx="5">
                  <c:v>2.0383649324066413E-2</c:v>
                </c:pt>
                <c:pt idx="6">
                  <c:v>2.5479561655083017E-2</c:v>
                </c:pt>
                <c:pt idx="7">
                  <c:v>3.0575473986099617E-2</c:v>
                </c:pt>
                <c:pt idx="8">
                  <c:v>3.5671386317116222E-2</c:v>
                </c:pt>
                <c:pt idx="9">
                  <c:v>4.0767298648132833E-2</c:v>
                </c:pt>
                <c:pt idx="10">
                  <c:v>4.586321097914943E-2</c:v>
                </c:pt>
                <c:pt idx="11">
                  <c:v>5.0959123310166034E-2</c:v>
                </c:pt>
                <c:pt idx="12">
                  <c:v>5.6055035641182638E-2</c:v>
                </c:pt>
                <c:pt idx="13">
                  <c:v>6.1150947972199242E-2</c:v>
                </c:pt>
                <c:pt idx="14">
                  <c:v>6.6246860303215846E-2</c:v>
                </c:pt>
                <c:pt idx="15">
                  <c:v>7.1342772634232457E-2</c:v>
                </c:pt>
                <c:pt idx="16">
                  <c:v>7.6438684965249054E-2</c:v>
                </c:pt>
                <c:pt idx="17">
                  <c:v>8.1534597296265651E-2</c:v>
                </c:pt>
                <c:pt idx="18">
                  <c:v>8.6630509627282276E-2</c:v>
                </c:pt>
                <c:pt idx="19">
                  <c:v>9.1726421958298887E-2</c:v>
                </c:pt>
                <c:pt idx="20">
                  <c:v>9.6822334289315498E-2</c:v>
                </c:pt>
                <c:pt idx="21">
                  <c:v>0.10191824662033211</c:v>
                </c:pt>
                <c:pt idx="22">
                  <c:v>0.10701415895134872</c:v>
                </c:pt>
                <c:pt idx="23">
                  <c:v>0.11211007128236533</c:v>
                </c:pt>
                <c:pt idx="24">
                  <c:v>0.11720598361338194</c:v>
                </c:pt>
                <c:pt idx="25">
                  <c:v>0.12230189594439857</c:v>
                </c:pt>
                <c:pt idx="26">
                  <c:v>0.12739780827541516</c:v>
                </c:pt>
                <c:pt idx="27">
                  <c:v>0.13249372060643178</c:v>
                </c:pt>
                <c:pt idx="28">
                  <c:v>0.13758963293744839</c:v>
                </c:pt>
                <c:pt idx="29">
                  <c:v>0.142685545268465</c:v>
                </c:pt>
                <c:pt idx="30">
                  <c:v>0.14778145759948161</c:v>
                </c:pt>
                <c:pt idx="31">
                  <c:v>0.15287736993049822</c:v>
                </c:pt>
                <c:pt idx="32">
                  <c:v>0.15797328226151483</c:v>
                </c:pt>
                <c:pt idx="33">
                  <c:v>0.16306919459253144</c:v>
                </c:pt>
                <c:pt idx="34">
                  <c:v>0.16816510692354805</c:v>
                </c:pt>
                <c:pt idx="35">
                  <c:v>0.17326101925456466</c:v>
                </c:pt>
                <c:pt idx="36">
                  <c:v>0.17835693158558127</c:v>
                </c:pt>
                <c:pt idx="37">
                  <c:v>0.18345284391659789</c:v>
                </c:pt>
                <c:pt idx="38">
                  <c:v>0.1885487562476145</c:v>
                </c:pt>
                <c:pt idx="39">
                  <c:v>0.19364466857863111</c:v>
                </c:pt>
                <c:pt idx="40">
                  <c:v>0.19874058090964772</c:v>
                </c:pt>
                <c:pt idx="41">
                  <c:v>0.20383649324066433</c:v>
                </c:pt>
                <c:pt idx="42">
                  <c:v>0.20893240557168097</c:v>
                </c:pt>
                <c:pt idx="43">
                  <c:v>0.21402831790269758</c:v>
                </c:pt>
                <c:pt idx="44">
                  <c:v>0.21912423023371419</c:v>
                </c:pt>
                <c:pt idx="45">
                  <c:v>0.2242201425647308</c:v>
                </c:pt>
                <c:pt idx="46">
                  <c:v>0.22754356365017614</c:v>
                </c:pt>
              </c:numCache>
            </c:numRef>
          </c:yVal>
          <c:smooth val="1"/>
        </c:ser>
        <c:ser>
          <c:idx val="6"/>
          <c:order val="5"/>
          <c:tx>
            <c:strRef>
              <c:f>'A20-30MEVO'!$D$3:$E$3</c:f>
              <c:strCache>
                <c:ptCount val="1"/>
                <c:pt idx="0">
                  <c:v>A20-30MEVO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6"/>
          </c:marker>
          <c:trendline>
            <c:trendlineType val="linear"/>
            <c:dispRSqr val="0"/>
            <c:dispEq val="0"/>
          </c:trendline>
          <c:xVal>
            <c:numRef>
              <c:f>'A20-30MEVO'!$H$3:$H$28</c:f>
              <c:numCache>
                <c:formatCode>General</c:formatCode>
                <c:ptCount val="26"/>
                <c:pt idx="1">
                  <c:v>6566</c:v>
                </c:pt>
                <c:pt idx="2">
                  <c:v>6463.6880000000001</c:v>
                </c:pt>
                <c:pt idx="3">
                  <c:v>6361.3760000000002</c:v>
                </c:pt>
                <c:pt idx="4">
                  <c:v>6259.0640000000003</c:v>
                </c:pt>
                <c:pt idx="5">
                  <c:v>6156.7520000000004</c:v>
                </c:pt>
                <c:pt idx="6">
                  <c:v>6054.4400000000005</c:v>
                </c:pt>
                <c:pt idx="7">
                  <c:v>5952.1280000000006</c:v>
                </c:pt>
                <c:pt idx="8">
                  <c:v>5849.8160000000007</c:v>
                </c:pt>
                <c:pt idx="9">
                  <c:v>5747.5040000000008</c:v>
                </c:pt>
                <c:pt idx="10">
                  <c:v>5645.1920000000009</c:v>
                </c:pt>
                <c:pt idx="11">
                  <c:v>5542.880000000001</c:v>
                </c:pt>
                <c:pt idx="12">
                  <c:v>5440.5680000000011</c:v>
                </c:pt>
                <c:pt idx="13">
                  <c:v>5338.2560000000012</c:v>
                </c:pt>
                <c:pt idx="14">
                  <c:v>5235.9440000000013</c:v>
                </c:pt>
                <c:pt idx="15">
                  <c:v>5133.6320000000014</c:v>
                </c:pt>
                <c:pt idx="16">
                  <c:v>5031.3200000000015</c:v>
                </c:pt>
                <c:pt idx="17">
                  <c:v>4929.0080000000016</c:v>
                </c:pt>
                <c:pt idx="18">
                  <c:v>4826.6960000000017</c:v>
                </c:pt>
                <c:pt idx="19">
                  <c:v>4724.3840000000018</c:v>
                </c:pt>
                <c:pt idx="20">
                  <c:v>4622.0720000000019</c:v>
                </c:pt>
                <c:pt idx="21">
                  <c:v>4519.760000000002</c:v>
                </c:pt>
                <c:pt idx="22">
                  <c:v>4417.4480000000021</c:v>
                </c:pt>
                <c:pt idx="23">
                  <c:v>4315.1360000000022</c:v>
                </c:pt>
                <c:pt idx="24">
                  <c:v>4212.8240000000023</c:v>
                </c:pt>
                <c:pt idx="25">
                  <c:v>4110.5120000000015</c:v>
                </c:pt>
              </c:numCache>
            </c:numRef>
          </c:xVal>
          <c:yVal>
            <c:numRef>
              <c:f>'A20-30MEVO'!$G$3:$G$28</c:f>
              <c:numCache>
                <c:formatCode>General</c:formatCode>
                <c:ptCount val="26"/>
                <c:pt idx="1">
                  <c:v>0</c:v>
                </c:pt>
                <c:pt idx="2">
                  <c:v>5.846508113579829E-3</c:v>
                </c:pt>
                <c:pt idx="3">
                  <c:v>1.1693016227159656E-2</c:v>
                </c:pt>
                <c:pt idx="4">
                  <c:v>1.7539524340739486E-2</c:v>
                </c:pt>
                <c:pt idx="5">
                  <c:v>2.3386032454319316E-2</c:v>
                </c:pt>
                <c:pt idx="6">
                  <c:v>2.9232540567899142E-2</c:v>
                </c:pt>
                <c:pt idx="7">
                  <c:v>3.5079048681478979E-2</c:v>
                </c:pt>
                <c:pt idx="8">
                  <c:v>4.0925556795058805E-2</c:v>
                </c:pt>
                <c:pt idx="9">
                  <c:v>4.6772064908638625E-2</c:v>
                </c:pt>
                <c:pt idx="10">
                  <c:v>5.2618573022218451E-2</c:v>
                </c:pt>
                <c:pt idx="11">
                  <c:v>5.8465081135798277E-2</c:v>
                </c:pt>
                <c:pt idx="12">
                  <c:v>6.4311589249378104E-2</c:v>
                </c:pt>
                <c:pt idx="13">
                  <c:v>7.015809736295793E-2</c:v>
                </c:pt>
                <c:pt idx="14">
                  <c:v>7.6004605476537757E-2</c:v>
                </c:pt>
                <c:pt idx="15">
                  <c:v>8.1851113590117583E-2</c:v>
                </c:pt>
                <c:pt idx="16">
                  <c:v>8.7697621703697409E-2</c:v>
                </c:pt>
                <c:pt idx="17">
                  <c:v>9.3544129817277236E-2</c:v>
                </c:pt>
                <c:pt idx="18">
                  <c:v>9.9390637930857062E-2</c:v>
                </c:pt>
                <c:pt idx="19">
                  <c:v>0.10523714604443689</c:v>
                </c:pt>
                <c:pt idx="20">
                  <c:v>0.11108365415801671</c:v>
                </c:pt>
                <c:pt idx="21">
                  <c:v>0.11693016227159654</c:v>
                </c:pt>
                <c:pt idx="22">
                  <c:v>0.12277667038517635</c:v>
                </c:pt>
                <c:pt idx="23">
                  <c:v>0.12862317849875618</c:v>
                </c:pt>
                <c:pt idx="24">
                  <c:v>0.13446968661233599</c:v>
                </c:pt>
                <c:pt idx="25">
                  <c:v>0.14031619472591589</c:v>
                </c:pt>
              </c:numCache>
            </c:numRef>
          </c:yVal>
          <c:smooth val="1"/>
        </c:ser>
        <c:ser>
          <c:idx val="7"/>
          <c:order val="6"/>
          <c:tx>
            <c:strRef>
              <c:f>'A20-22LEVO'!$D$3:$E$3</c:f>
              <c:strCache>
                <c:ptCount val="1"/>
                <c:pt idx="0">
                  <c:v>A20-22LEVO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6"/>
          </c:marker>
          <c:trendline>
            <c:spPr>
              <a:ln>
                <a:prstDash val="lgDashDotDot"/>
              </a:ln>
            </c:spPr>
            <c:trendlineType val="linear"/>
            <c:dispRSqr val="0"/>
            <c:dispEq val="0"/>
          </c:trendline>
          <c:xVal>
            <c:numRef>
              <c:f>'A20-22LEVO'!$H$3:$H$29</c:f>
              <c:numCache>
                <c:formatCode>General</c:formatCode>
                <c:ptCount val="27"/>
                <c:pt idx="1">
                  <c:v>6190.8</c:v>
                </c:pt>
                <c:pt idx="2">
                  <c:v>6129.1230000000005</c:v>
                </c:pt>
                <c:pt idx="3">
                  <c:v>6067.4460000000008</c:v>
                </c:pt>
                <c:pt idx="4">
                  <c:v>6005.7690000000011</c:v>
                </c:pt>
                <c:pt idx="5">
                  <c:v>5944.0920000000015</c:v>
                </c:pt>
                <c:pt idx="6">
                  <c:v>5882.4150000000018</c:v>
                </c:pt>
                <c:pt idx="7">
                  <c:v>5820.7380000000021</c:v>
                </c:pt>
                <c:pt idx="8">
                  <c:v>5759.0610000000024</c:v>
                </c:pt>
                <c:pt idx="9">
                  <c:v>5697.3840000000027</c:v>
                </c:pt>
                <c:pt idx="10">
                  <c:v>5635.7070000000031</c:v>
                </c:pt>
                <c:pt idx="11">
                  <c:v>5574.0300000000034</c:v>
                </c:pt>
                <c:pt idx="12">
                  <c:v>5512.3530000000037</c:v>
                </c:pt>
                <c:pt idx="13">
                  <c:v>5450.676000000004</c:v>
                </c:pt>
                <c:pt idx="14">
                  <c:v>5388.9990000000043</c:v>
                </c:pt>
                <c:pt idx="15">
                  <c:v>5327.3220000000047</c:v>
                </c:pt>
                <c:pt idx="16">
                  <c:v>5265.645000000005</c:v>
                </c:pt>
                <c:pt idx="17">
                  <c:v>5203.9680000000053</c:v>
                </c:pt>
                <c:pt idx="18">
                  <c:v>5142.2910000000056</c:v>
                </c:pt>
                <c:pt idx="19">
                  <c:v>5080.6140000000059</c:v>
                </c:pt>
                <c:pt idx="20">
                  <c:v>5018.9370000000063</c:v>
                </c:pt>
                <c:pt idx="21">
                  <c:v>4957.2600000000066</c:v>
                </c:pt>
                <c:pt idx="22">
                  <c:v>4895.5830000000069</c:v>
                </c:pt>
                <c:pt idx="23">
                  <c:v>4833.9060000000072</c:v>
                </c:pt>
                <c:pt idx="24">
                  <c:v>4772.2290000000075</c:v>
                </c:pt>
                <c:pt idx="25">
                  <c:v>4710.5520000000079</c:v>
                </c:pt>
                <c:pt idx="26">
                  <c:v>4689.9930000000077</c:v>
                </c:pt>
              </c:numCache>
            </c:numRef>
          </c:xVal>
          <c:yVal>
            <c:numRef>
              <c:f>'A20-22LEVO'!$G$3:$G$29</c:f>
              <c:numCache>
                <c:formatCode>General</c:formatCode>
                <c:ptCount val="27"/>
                <c:pt idx="1">
                  <c:v>0</c:v>
                </c:pt>
                <c:pt idx="2">
                  <c:v>7.7510524233065925E-3</c:v>
                </c:pt>
                <c:pt idx="3">
                  <c:v>1.5502104846613185E-2</c:v>
                </c:pt>
                <c:pt idx="4">
                  <c:v>2.3253157269919777E-2</c:v>
                </c:pt>
                <c:pt idx="5">
                  <c:v>3.100420969322637E-2</c:v>
                </c:pt>
                <c:pt idx="6">
                  <c:v>3.8755262116532962E-2</c:v>
                </c:pt>
                <c:pt idx="7">
                  <c:v>4.6506314539839555E-2</c:v>
                </c:pt>
                <c:pt idx="8">
                  <c:v>5.4257366963146147E-2</c:v>
                </c:pt>
                <c:pt idx="9">
                  <c:v>6.200841938645274E-2</c:v>
                </c:pt>
                <c:pt idx="10">
                  <c:v>6.9759471809759332E-2</c:v>
                </c:pt>
                <c:pt idx="11">
                  <c:v>7.7510524233065925E-2</c:v>
                </c:pt>
                <c:pt idx="12">
                  <c:v>8.5261576656372517E-2</c:v>
                </c:pt>
                <c:pt idx="13">
                  <c:v>9.301262907967911E-2</c:v>
                </c:pt>
                <c:pt idx="14">
                  <c:v>0.1007636815029857</c:v>
                </c:pt>
                <c:pt idx="15">
                  <c:v>0.10851473392629229</c:v>
                </c:pt>
                <c:pt idx="16">
                  <c:v>0.11626578634959889</c:v>
                </c:pt>
                <c:pt idx="17">
                  <c:v>0.12401683877290548</c:v>
                </c:pt>
                <c:pt idx="18">
                  <c:v>0.13176789119621207</c:v>
                </c:pt>
                <c:pt idx="19">
                  <c:v>0.13951894361951866</c:v>
                </c:pt>
                <c:pt idx="20">
                  <c:v>0.14726999604282526</c:v>
                </c:pt>
                <c:pt idx="21">
                  <c:v>0.15502104846613185</c:v>
                </c:pt>
                <c:pt idx="22">
                  <c:v>0.16277210088943844</c:v>
                </c:pt>
                <c:pt idx="23">
                  <c:v>0.17052315331274503</c:v>
                </c:pt>
                <c:pt idx="24">
                  <c:v>0.17827420573605163</c:v>
                </c:pt>
                <c:pt idx="25">
                  <c:v>0.18602525815935822</c:v>
                </c:pt>
                <c:pt idx="26">
                  <c:v>0.18860894230046041</c:v>
                </c:pt>
              </c:numCache>
            </c:numRef>
          </c:yVal>
          <c:smooth val="1"/>
        </c:ser>
        <c:ser>
          <c:idx val="3"/>
          <c:order val="7"/>
          <c:tx>
            <c:v>12x6E Torque</c:v>
          </c:tx>
          <c:spPr>
            <a:ln>
              <a:noFill/>
            </a:ln>
          </c:spPr>
          <c:marker>
            <c:symbol val="none"/>
          </c:marker>
          <c:trendline>
            <c:name>12x6E Torque</c:name>
            <c:trendlineType val="poly"/>
            <c:order val="2"/>
            <c:dispRSqr val="0"/>
            <c:dispEq val="0"/>
          </c:trendline>
          <c:xVal>
            <c:numRef>
              <c:f>Sheet1!$B$33:$B$39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</c:numCache>
            </c:numRef>
          </c:xVal>
          <c:yVal>
            <c:numRef>
              <c:f>Sheet1!$D$33:$D$39</c:f>
              <c:numCache>
                <c:formatCode>General</c:formatCode>
                <c:ptCount val="7"/>
                <c:pt idx="0">
                  <c:v>6.4401329160000001E-3</c:v>
                </c:pt>
                <c:pt idx="1">
                  <c:v>2.5873516452000003E-2</c:v>
                </c:pt>
                <c:pt idx="2">
                  <c:v>5.8300150608E-2</c:v>
                </c:pt>
                <c:pt idx="3">
                  <c:v>0.10383302017200001</c:v>
                </c:pt>
                <c:pt idx="4">
                  <c:v>0.15885661192799999</c:v>
                </c:pt>
                <c:pt idx="5">
                  <c:v>0.22404883460400002</c:v>
                </c:pt>
                <c:pt idx="6">
                  <c:v>0.30008759692800002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588544"/>
        <c:axId val="250594816"/>
      </c:scatterChart>
      <c:scatterChart>
        <c:scatterStyle val="smoothMarker"/>
        <c:varyColors val="0"/>
        <c:ser>
          <c:idx val="1"/>
          <c:order val="0"/>
          <c:tx>
            <c:v>12x6E Thrust force</c:v>
          </c:tx>
          <c:spPr>
            <a:ln>
              <a:noFill/>
            </a:ln>
          </c:spPr>
          <c:marker>
            <c:symbol val="none"/>
          </c:marker>
          <c:trendline>
            <c:name>12x6E Thrust force</c:name>
            <c:spPr>
              <a:ln>
                <a:prstDash val="lgDash"/>
              </a:ln>
            </c:spPr>
            <c:trendlineType val="poly"/>
            <c:order val="2"/>
            <c:dispRSqr val="0"/>
            <c:dispEq val="0"/>
          </c:trendline>
          <c:xVal>
            <c:numRef>
              <c:f>Sheet1!$B$14:$B$20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</c:numCache>
            </c:numRef>
          </c:xVal>
          <c:yVal>
            <c:numRef>
              <c:f>Sheet1!$D$14:$D$20</c:f>
              <c:numCache>
                <c:formatCode>General</c:formatCode>
                <c:ptCount val="7"/>
                <c:pt idx="0">
                  <c:v>0.24020388000000001</c:v>
                </c:pt>
                <c:pt idx="1">
                  <c:v>0.96081552000000003</c:v>
                </c:pt>
                <c:pt idx="2">
                  <c:v>2.12624916</c:v>
                </c:pt>
                <c:pt idx="3">
                  <c:v>3.8566067400000001</c:v>
                </c:pt>
                <c:pt idx="4">
                  <c:v>6.0317863200000001</c:v>
                </c:pt>
                <c:pt idx="5">
                  <c:v>8.6962700999999996</c:v>
                </c:pt>
                <c:pt idx="6">
                  <c:v>11.86785096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607104"/>
        <c:axId val="250596736"/>
      </c:scatterChart>
      <c:valAx>
        <c:axId val="250588544"/>
        <c:scaling>
          <c:orientation val="minMax"/>
          <c:max val="7000"/>
          <c:min val="1000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latin typeface="+mn-ea"/>
                    <a:ea typeface="+mn-ea"/>
                  </a:defRPr>
                </a:pPr>
                <a:r>
                  <a:rPr lang="en-US" altLang="ja-JP" sz="1200">
                    <a:latin typeface="+mn-ea"/>
                    <a:ea typeface="+mn-ea"/>
                  </a:rPr>
                  <a:t>rpm</a:t>
                </a:r>
                <a:endParaRPr lang="ja-JP" altLang="en-US" sz="1200">
                  <a:latin typeface="+mn-ea"/>
                  <a:ea typeface="+mn-ea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in"/>
        <c:tickLblPos val="nextTo"/>
        <c:crossAx val="250594816"/>
        <c:crosses val="autoZero"/>
        <c:crossBetween val="midCat"/>
        <c:majorUnit val="1000"/>
        <c:minorUnit val="250"/>
      </c:valAx>
      <c:valAx>
        <c:axId val="250594816"/>
        <c:scaling>
          <c:orientation val="minMax"/>
          <c:max val="0.2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300">
                    <a:latin typeface="+mn-ea"/>
                    <a:ea typeface="+mn-ea"/>
                  </a:defRPr>
                </a:pPr>
                <a:r>
                  <a:rPr lang="en-US" altLang="ja-JP" sz="1300">
                    <a:latin typeface="+mn-ea"/>
                    <a:ea typeface="+mn-ea"/>
                  </a:rPr>
                  <a:t>Torque[N</a:t>
                </a:r>
                <a:r>
                  <a:rPr lang="ja-JP" altLang="en-US" sz="1300">
                    <a:latin typeface="+mn-ea"/>
                    <a:ea typeface="+mn-ea"/>
                  </a:rPr>
                  <a:t>･</a:t>
                </a:r>
                <a:r>
                  <a:rPr lang="en-US" altLang="ja-JP" sz="1300">
                    <a:latin typeface="+mn-ea"/>
                    <a:ea typeface="+mn-ea"/>
                  </a:rPr>
                  <a:t>m]</a:t>
                </a:r>
                <a:endParaRPr lang="ja-JP" altLang="en-US" sz="1300">
                  <a:latin typeface="+mn-ea"/>
                  <a:ea typeface="+mn-ea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in"/>
        <c:tickLblPos val="nextTo"/>
        <c:crossAx val="250588544"/>
        <c:crosses val="autoZero"/>
        <c:crossBetween val="midCat"/>
      </c:valAx>
      <c:valAx>
        <c:axId val="250596736"/>
        <c:scaling>
          <c:orientation val="minMax"/>
          <c:max val="14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300">
                    <a:latin typeface="+mn-ea"/>
                    <a:ea typeface="+mn-ea"/>
                  </a:defRPr>
                </a:pPr>
                <a:r>
                  <a:rPr lang="en-US" altLang="ja-JP" sz="1300">
                    <a:latin typeface="+mn-ea"/>
                    <a:ea typeface="+mn-ea"/>
                  </a:rPr>
                  <a:t>Thrust force[N]</a:t>
                </a:r>
                <a:endParaRPr lang="ja-JP" altLang="en-US" sz="1300">
                  <a:latin typeface="+mn-ea"/>
                  <a:ea typeface="+mn-ea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in"/>
        <c:tickLblPos val="nextTo"/>
        <c:crossAx val="250607104"/>
        <c:crosses val="max"/>
        <c:crossBetween val="midCat"/>
      </c:valAx>
      <c:valAx>
        <c:axId val="250607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50596736"/>
        <c:crosses val="autoZero"/>
        <c:crossBetween val="midCat"/>
      </c:valAx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12203339015612739"/>
          <c:y val="4.2909581756825854E-2"/>
          <c:w val="0.23987481276882275"/>
          <c:h val="0.35273188148778695"/>
        </c:manualLayout>
      </c:layout>
      <c:overlay val="1"/>
      <c:spPr>
        <a:solidFill>
          <a:schemeClr val="bg1"/>
        </a:solidFill>
        <a:ln>
          <a:solidFill>
            <a:schemeClr val="tx1">
              <a:shade val="95000"/>
              <a:satMod val="105000"/>
            </a:schemeClr>
          </a:solidFill>
        </a:ln>
      </c:spPr>
      <c:txPr>
        <a:bodyPr/>
        <a:lstStyle/>
        <a:p>
          <a:pPr>
            <a:defRPr sz="13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静止推力測定!$F$5</c:f>
              <c:strCache>
                <c:ptCount val="1"/>
                <c:pt idx="0">
                  <c:v>force[N]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6"/>
            <c:spPr>
              <a:ln w="12700">
                <a:solidFill>
                  <a:srgbClr val="1000DA"/>
                </a:solidFill>
              </a:ln>
            </c:spPr>
          </c:marker>
          <c:xVal>
            <c:numRef>
              <c:f>静止推力測定!$B$6:$B$25</c:f>
              <c:numCache>
                <c:formatCode>General</c:formatCode>
                <c:ptCount val="20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120</c:v>
                </c:pt>
                <c:pt idx="4">
                  <c:v>180</c:v>
                </c:pt>
                <c:pt idx="5">
                  <c:v>240</c:v>
                </c:pt>
                <c:pt idx="6">
                  <c:v>300</c:v>
                </c:pt>
                <c:pt idx="7">
                  <c:v>360</c:v>
                </c:pt>
                <c:pt idx="8">
                  <c:v>420</c:v>
                </c:pt>
                <c:pt idx="9">
                  <c:v>480</c:v>
                </c:pt>
                <c:pt idx="10">
                  <c:v>540</c:v>
                </c:pt>
                <c:pt idx="11">
                  <c:v>600</c:v>
                </c:pt>
                <c:pt idx="12">
                  <c:v>660</c:v>
                </c:pt>
                <c:pt idx="13">
                  <c:v>720</c:v>
                </c:pt>
                <c:pt idx="14">
                  <c:v>780</c:v>
                </c:pt>
                <c:pt idx="15">
                  <c:v>790</c:v>
                </c:pt>
                <c:pt idx="16">
                  <c:v>800</c:v>
                </c:pt>
                <c:pt idx="17">
                  <c:v>810</c:v>
                </c:pt>
                <c:pt idx="18">
                  <c:v>840</c:v>
                </c:pt>
                <c:pt idx="19">
                  <c:v>862</c:v>
                </c:pt>
              </c:numCache>
            </c:numRef>
          </c:xVal>
          <c:yVal>
            <c:numRef>
              <c:f>静止推力測定!$F$6:$F$25</c:f>
              <c:numCache>
                <c:formatCode>General</c:formatCode>
                <c:ptCount val="20"/>
                <c:pt idx="0">
                  <c:v>6.0016697999999993</c:v>
                </c:pt>
                <c:pt idx="1">
                  <c:v>5.741793575</c:v>
                </c:pt>
                <c:pt idx="2">
                  <c:v>5.5554672249999992</c:v>
                </c:pt>
                <c:pt idx="3">
                  <c:v>5.4574007249999994</c:v>
                </c:pt>
                <c:pt idx="4">
                  <c:v>5.3426629199999986</c:v>
                </c:pt>
                <c:pt idx="5">
                  <c:v>5.202427825</c:v>
                </c:pt>
                <c:pt idx="6">
                  <c:v>5.1582979</c:v>
                </c:pt>
                <c:pt idx="7">
                  <c:v>5.0847480249999997</c:v>
                </c:pt>
                <c:pt idx="8">
                  <c:v>5.07003805</c:v>
                </c:pt>
                <c:pt idx="9">
                  <c:v>5.146529919999999</c:v>
                </c:pt>
                <c:pt idx="10">
                  <c:v>4.9670682250000002</c:v>
                </c:pt>
                <c:pt idx="11">
                  <c:v>4.9915848499999989</c:v>
                </c:pt>
                <c:pt idx="12">
                  <c:v>4.8984216749999998</c:v>
                </c:pt>
                <c:pt idx="13">
                  <c:v>4.8052584999999999</c:v>
                </c:pt>
                <c:pt idx="14">
                  <c:v>4.61893215</c:v>
                </c:pt>
                <c:pt idx="15">
                  <c:v>4.4375091249999992</c:v>
                </c:pt>
                <c:pt idx="16">
                  <c:v>4.2119561749999992</c:v>
                </c:pt>
                <c:pt idx="17">
                  <c:v>2.8390251749999997</c:v>
                </c:pt>
                <c:pt idx="18">
                  <c:v>0.45600922499999996</c:v>
                </c:pt>
                <c:pt idx="1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502144"/>
        <c:axId val="250512896"/>
      </c:scatterChart>
      <c:valAx>
        <c:axId val="250502144"/>
        <c:scaling>
          <c:orientation val="minMax"/>
          <c:max val="900"/>
        </c:scaling>
        <c:delete val="0"/>
        <c:axPos val="b"/>
        <c:title>
          <c:tx>
            <c:rich>
              <a:bodyPr/>
              <a:lstStyle/>
              <a:p>
                <a:pPr>
                  <a:defRPr sz="1300">
                    <a:latin typeface="+mn-ea"/>
                    <a:ea typeface="+mn-ea"/>
                  </a:defRPr>
                </a:pPr>
                <a:r>
                  <a:rPr lang="en-US" altLang="ja-JP" sz="1300">
                    <a:latin typeface="+mn-ea"/>
                    <a:ea typeface="+mn-ea"/>
                  </a:rPr>
                  <a:t>Time[s]</a:t>
                </a:r>
                <a:endParaRPr lang="ja-JP" altLang="en-US" sz="1300">
                  <a:latin typeface="+mn-ea"/>
                  <a:ea typeface="+mn-ea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crossAx val="250512896"/>
        <c:crosses val="autoZero"/>
        <c:crossBetween val="midCat"/>
      </c:valAx>
      <c:valAx>
        <c:axId val="2505128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300">
                    <a:latin typeface="+mn-ea"/>
                    <a:ea typeface="+mn-ea"/>
                  </a:defRPr>
                </a:pPr>
                <a:r>
                  <a:rPr lang="en-US" altLang="ja-JP" sz="1300">
                    <a:latin typeface="+mn-ea"/>
                    <a:ea typeface="+mn-ea"/>
                  </a:rPr>
                  <a:t>Thrust Force[N]</a:t>
                </a:r>
                <a:endParaRPr lang="ja-JP" altLang="en-US" sz="1300">
                  <a:latin typeface="+mn-ea"/>
                  <a:ea typeface="+mn-ea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crossAx val="25050214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1"/>
          <c:tx>
            <c:v>Experiment Data</c:v>
          </c:tx>
          <c:spPr>
            <a:ln w="28575">
              <a:noFill/>
            </a:ln>
          </c:spPr>
          <c:marker>
            <c:symbol val="x"/>
            <c:size val="6"/>
            <c:spPr>
              <a:ln w="12700">
                <a:solidFill>
                  <a:srgbClr val="1000DA"/>
                </a:solidFill>
              </a:ln>
            </c:spPr>
          </c:marker>
          <c:xVal>
            <c:numRef>
              <c:f>静止推力測定!$D$6:$D$25</c:f>
              <c:numCache>
                <c:formatCode>General</c:formatCode>
                <c:ptCount val="20"/>
                <c:pt idx="0">
                  <c:v>5040</c:v>
                </c:pt>
                <c:pt idx="1">
                  <c:v>4988.7</c:v>
                </c:pt>
                <c:pt idx="2">
                  <c:v>4933.8</c:v>
                </c:pt>
                <c:pt idx="3">
                  <c:v>4839.3</c:v>
                </c:pt>
                <c:pt idx="4">
                  <c:v>4797.3</c:v>
                </c:pt>
                <c:pt idx="5">
                  <c:v>4764</c:v>
                </c:pt>
                <c:pt idx="6">
                  <c:v>4714.2</c:v>
                </c:pt>
                <c:pt idx="7">
                  <c:v>4692.3</c:v>
                </c:pt>
                <c:pt idx="8">
                  <c:v>4647</c:v>
                </c:pt>
                <c:pt idx="9">
                  <c:v>4621.5</c:v>
                </c:pt>
                <c:pt idx="10">
                  <c:v>4638</c:v>
                </c:pt>
                <c:pt idx="11">
                  <c:v>4635.8999999999996</c:v>
                </c:pt>
                <c:pt idx="12">
                  <c:v>4612.7999999999993</c:v>
                </c:pt>
                <c:pt idx="13">
                  <c:v>4574.7000000000007</c:v>
                </c:pt>
                <c:pt idx="14">
                  <c:v>4431.8999999999996</c:v>
                </c:pt>
                <c:pt idx="15">
                  <c:v>4413.3</c:v>
                </c:pt>
                <c:pt idx="16">
                  <c:v>4307.7</c:v>
                </c:pt>
                <c:pt idx="17">
                  <c:v>3513</c:v>
                </c:pt>
                <c:pt idx="18">
                  <c:v>1489.5</c:v>
                </c:pt>
                <c:pt idx="19">
                  <c:v>0</c:v>
                </c:pt>
              </c:numCache>
            </c:numRef>
          </c:xVal>
          <c:yVal>
            <c:numRef>
              <c:f>静止推力測定!$F$6:$F$25</c:f>
              <c:numCache>
                <c:formatCode>General</c:formatCode>
                <c:ptCount val="20"/>
                <c:pt idx="0">
                  <c:v>6.0016697999999993</c:v>
                </c:pt>
                <c:pt idx="1">
                  <c:v>5.741793575</c:v>
                </c:pt>
                <c:pt idx="2">
                  <c:v>5.5554672249999992</c:v>
                </c:pt>
                <c:pt idx="3">
                  <c:v>5.4574007249999994</c:v>
                </c:pt>
                <c:pt idx="4">
                  <c:v>5.3426629199999986</c:v>
                </c:pt>
                <c:pt idx="5">
                  <c:v>5.202427825</c:v>
                </c:pt>
                <c:pt idx="6">
                  <c:v>5.1582979</c:v>
                </c:pt>
                <c:pt idx="7">
                  <c:v>5.0847480249999997</c:v>
                </c:pt>
                <c:pt idx="8">
                  <c:v>5.07003805</c:v>
                </c:pt>
                <c:pt idx="9">
                  <c:v>5.146529919999999</c:v>
                </c:pt>
                <c:pt idx="10">
                  <c:v>4.9670682250000002</c:v>
                </c:pt>
                <c:pt idx="11">
                  <c:v>4.9915848499999989</c:v>
                </c:pt>
                <c:pt idx="12">
                  <c:v>4.8984216749999998</c:v>
                </c:pt>
                <c:pt idx="13">
                  <c:v>4.8052584999999999</c:v>
                </c:pt>
                <c:pt idx="14">
                  <c:v>4.61893215</c:v>
                </c:pt>
                <c:pt idx="15">
                  <c:v>4.4375091249999992</c:v>
                </c:pt>
                <c:pt idx="16">
                  <c:v>4.2119561749999992</c:v>
                </c:pt>
                <c:pt idx="17">
                  <c:v>2.8390251749999997</c:v>
                </c:pt>
                <c:pt idx="18">
                  <c:v>0.45600922499999996</c:v>
                </c:pt>
                <c:pt idx="19">
                  <c:v>0</c:v>
                </c:pt>
              </c:numCache>
            </c:numRef>
          </c:yVal>
          <c:smooth val="1"/>
        </c:ser>
        <c:ser>
          <c:idx val="1"/>
          <c:order val="0"/>
          <c:tx>
            <c:v>APC Official Data</c:v>
          </c:tx>
          <c:spPr>
            <a:ln>
              <a:noFill/>
            </a:ln>
          </c:spPr>
          <c:marker>
            <c:symbol val="plus"/>
            <c:size val="7"/>
            <c:spPr>
              <a:ln>
                <a:noFill/>
              </a:ln>
            </c:spPr>
          </c:marker>
          <c:trendline>
            <c:name>APC Official Data</c:name>
            <c:spPr>
              <a:ln>
                <a:prstDash val="dash"/>
              </a:ln>
            </c:spPr>
            <c:trendlineType val="poly"/>
            <c:order val="2"/>
            <c:dispRSqr val="0"/>
            <c:dispEq val="0"/>
          </c:trendline>
          <c:xVal>
            <c:numRef>
              <c:f>Sheet1!$B$14:$B$20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</c:numCache>
            </c:numRef>
          </c:xVal>
          <c:yVal>
            <c:numRef>
              <c:f>Sheet1!$D$14:$D$20</c:f>
              <c:numCache>
                <c:formatCode>General</c:formatCode>
                <c:ptCount val="7"/>
                <c:pt idx="0">
                  <c:v>0.24020388000000001</c:v>
                </c:pt>
                <c:pt idx="1">
                  <c:v>0.96081552000000003</c:v>
                </c:pt>
                <c:pt idx="2">
                  <c:v>2.12624916</c:v>
                </c:pt>
                <c:pt idx="3">
                  <c:v>3.8566067400000001</c:v>
                </c:pt>
                <c:pt idx="4">
                  <c:v>6.0317863200000001</c:v>
                </c:pt>
                <c:pt idx="5">
                  <c:v>8.6962700999999996</c:v>
                </c:pt>
                <c:pt idx="6">
                  <c:v>11.86785096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538624"/>
        <c:axId val="250540800"/>
      </c:scatterChart>
      <c:valAx>
        <c:axId val="250538624"/>
        <c:scaling>
          <c:orientation val="minMax"/>
          <c:max val="6000"/>
          <c:min val="1000"/>
        </c:scaling>
        <c:delete val="0"/>
        <c:axPos val="b"/>
        <c:title>
          <c:tx>
            <c:rich>
              <a:bodyPr/>
              <a:lstStyle/>
              <a:p>
                <a:pPr>
                  <a:defRPr sz="1300">
                    <a:latin typeface="+mn-ea"/>
                    <a:ea typeface="+mn-ea"/>
                  </a:defRPr>
                </a:pPr>
                <a:r>
                  <a:rPr lang="en-US" altLang="ja-JP" sz="1300">
                    <a:latin typeface="+mn-ea"/>
                    <a:ea typeface="+mn-ea"/>
                  </a:rPr>
                  <a:t>rpm</a:t>
                </a:r>
                <a:endParaRPr lang="ja-JP" altLang="en-US" sz="1300">
                  <a:latin typeface="+mn-ea"/>
                  <a:ea typeface="+mn-ea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in"/>
        <c:tickLblPos val="nextTo"/>
        <c:crossAx val="250540800"/>
        <c:crosses val="autoZero"/>
        <c:crossBetween val="midCat"/>
        <c:majorUnit val="1000"/>
        <c:minorUnit val="250"/>
      </c:valAx>
      <c:valAx>
        <c:axId val="250540800"/>
        <c:scaling>
          <c:orientation val="minMax"/>
          <c:max val="8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300">
                    <a:latin typeface="+mn-ea"/>
                    <a:ea typeface="+mn-ea"/>
                  </a:defRPr>
                </a:pPr>
                <a:r>
                  <a:rPr lang="en-US" altLang="ja-JP" sz="1300">
                    <a:latin typeface="+mn-ea"/>
                    <a:ea typeface="+mn-ea"/>
                  </a:rPr>
                  <a:t>Thrust Force[N]</a:t>
                </a:r>
              </a:p>
            </c:rich>
          </c:tx>
          <c:layout>
            <c:manualLayout>
              <c:xMode val="edge"/>
              <c:yMode val="edge"/>
              <c:x val="1.5042719940512345E-2"/>
              <c:y val="0.33462137647404661"/>
            </c:manualLayout>
          </c:layout>
          <c:overlay val="0"/>
        </c:title>
        <c:numFmt formatCode="General" sourceLinked="1"/>
        <c:majorTickMark val="in"/>
        <c:minorTickMark val="in"/>
        <c:tickLblPos val="nextTo"/>
        <c:crossAx val="250538624"/>
        <c:crosses val="autoZero"/>
        <c:crossBetween val="midCat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3609244146024524"/>
          <c:y val="0.11404329211187567"/>
          <c:w val="0.25246633725943685"/>
          <c:h val="0.12953224873271274"/>
        </c:manualLayout>
      </c:layout>
      <c:overlay val="1"/>
      <c:spPr>
        <a:solidFill>
          <a:schemeClr val="bg1"/>
        </a:solidFill>
        <a:ln>
          <a:solidFill>
            <a:schemeClr val="tx1">
              <a:shade val="95000"/>
              <a:satMod val="105000"/>
            </a:schemeClr>
          </a:solidFill>
        </a:ln>
      </c:spPr>
      <c:txPr>
        <a:bodyPr/>
        <a:lstStyle/>
        <a:p>
          <a:pPr>
            <a:defRPr sz="1300"/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-7.6294191250912663E-2"/>
                  <c:y val="-6.4059248862132476E-2"/>
                </c:manualLayout>
              </c:layout>
              <c:numFmt formatCode="General" sourceLinked="0"/>
            </c:trendlineLbl>
          </c:trendline>
          <c:xVal>
            <c:numRef>
              <c:f>Sheet2!$B$5:$B$14</c:f>
              <c:numCache>
                <c:formatCode>General</c:formatCode>
                <c:ptCount val="10"/>
                <c:pt idx="0">
                  <c:v>4130</c:v>
                </c:pt>
                <c:pt idx="1">
                  <c:v>6200</c:v>
                </c:pt>
                <c:pt idx="2">
                  <c:v>6020</c:v>
                </c:pt>
                <c:pt idx="3">
                  <c:v>8120</c:v>
                </c:pt>
                <c:pt idx="4">
                  <c:v>9890</c:v>
                </c:pt>
                <c:pt idx="5">
                  <c:v>11420</c:v>
                </c:pt>
                <c:pt idx="6">
                  <c:v>12900</c:v>
                </c:pt>
                <c:pt idx="7">
                  <c:v>14003</c:v>
                </c:pt>
                <c:pt idx="8">
                  <c:v>16020</c:v>
                </c:pt>
                <c:pt idx="9">
                  <c:v>16930</c:v>
                </c:pt>
              </c:numCache>
            </c:numRef>
          </c:xVal>
          <c:yVal>
            <c:numRef>
              <c:f>Sheet2!$C$5:$C$14</c:f>
              <c:numCache>
                <c:formatCode>General</c:formatCode>
                <c:ptCount val="10"/>
                <c:pt idx="0">
                  <c:v>1197</c:v>
                </c:pt>
                <c:pt idx="1">
                  <c:v>1252</c:v>
                </c:pt>
                <c:pt idx="2">
                  <c:v>1245</c:v>
                </c:pt>
                <c:pt idx="3">
                  <c:v>1305</c:v>
                </c:pt>
                <c:pt idx="4">
                  <c:v>1350</c:v>
                </c:pt>
                <c:pt idx="5">
                  <c:v>1398</c:v>
                </c:pt>
                <c:pt idx="6">
                  <c:v>1449</c:v>
                </c:pt>
                <c:pt idx="7">
                  <c:v>1497</c:v>
                </c:pt>
                <c:pt idx="8">
                  <c:v>1555</c:v>
                </c:pt>
                <c:pt idx="9">
                  <c:v>1595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304768"/>
        <c:axId val="250306560"/>
      </c:scatterChart>
      <c:valAx>
        <c:axId val="25030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0306560"/>
        <c:crosses val="autoZero"/>
        <c:crossBetween val="midCat"/>
      </c:valAx>
      <c:valAx>
        <c:axId val="250306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3047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342900</xdr:colOff>
      <xdr:row>0</xdr:row>
      <xdr:rowOff>0</xdr:rowOff>
    </xdr:from>
    <xdr:to>
      <xdr:col>41</xdr:col>
      <xdr:colOff>66675</xdr:colOff>
      <xdr:row>26</xdr:row>
      <xdr:rowOff>38102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600075</xdr:colOff>
      <xdr:row>31</xdr:row>
      <xdr:rowOff>104775</xdr:rowOff>
    </xdr:from>
    <xdr:to>
      <xdr:col>38</xdr:col>
      <xdr:colOff>323850</xdr:colOff>
      <xdr:row>57</xdr:row>
      <xdr:rowOff>142877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285750</xdr:colOff>
      <xdr:row>60</xdr:row>
      <xdr:rowOff>109536</xdr:rowOff>
    </xdr:from>
    <xdr:to>
      <xdr:col>29</xdr:col>
      <xdr:colOff>161924</xdr:colOff>
      <xdr:row>90</xdr:row>
      <xdr:rowOff>47625</xdr:rowOff>
    </xdr:to>
    <xdr:graphicFrame macro="">
      <xdr:nvGraphicFramePr>
        <xdr:cNvPr id="6" name="グラフ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628649</xdr:colOff>
      <xdr:row>64</xdr:row>
      <xdr:rowOff>128587</xdr:rowOff>
    </xdr:from>
    <xdr:to>
      <xdr:col>39</xdr:col>
      <xdr:colOff>542924</xdr:colOff>
      <xdr:row>93</xdr:row>
      <xdr:rowOff>85725</xdr:rowOff>
    </xdr:to>
    <xdr:graphicFrame macro="">
      <xdr:nvGraphicFramePr>
        <xdr:cNvPr id="11" name="グラフ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466725</xdr:colOff>
      <xdr:row>34</xdr:row>
      <xdr:rowOff>138112</xdr:rowOff>
    </xdr:from>
    <xdr:to>
      <xdr:col>31</xdr:col>
      <xdr:colOff>514351</xdr:colOff>
      <xdr:row>69</xdr:row>
      <xdr:rowOff>161926</xdr:rowOff>
    </xdr:to>
    <xdr:graphicFrame macro="">
      <xdr:nvGraphicFramePr>
        <xdr:cNvPr id="13" name="グラフ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628650</xdr:colOff>
      <xdr:row>37</xdr:row>
      <xdr:rowOff>66675</xdr:rowOff>
    </xdr:from>
    <xdr:to>
      <xdr:col>22</xdr:col>
      <xdr:colOff>114300</xdr:colOff>
      <xdr:row>62</xdr:row>
      <xdr:rowOff>100425</xdr:rowOff>
    </xdr:to>
    <xdr:graphicFrame macro="">
      <xdr:nvGraphicFramePr>
        <xdr:cNvPr id="14" name="グラフ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17</xdr:row>
      <xdr:rowOff>95250</xdr:rowOff>
    </xdr:from>
    <xdr:to>
      <xdr:col>17</xdr:col>
      <xdr:colOff>571500</xdr:colOff>
      <xdr:row>33</xdr:row>
      <xdr:rowOff>95250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85725</xdr:colOff>
      <xdr:row>0</xdr:row>
      <xdr:rowOff>123825</xdr:rowOff>
    </xdr:from>
    <xdr:to>
      <xdr:col>17</xdr:col>
      <xdr:colOff>542925</xdr:colOff>
      <xdr:row>16</xdr:row>
      <xdr:rowOff>123825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17</xdr:row>
      <xdr:rowOff>95250</xdr:rowOff>
    </xdr:from>
    <xdr:to>
      <xdr:col>17</xdr:col>
      <xdr:colOff>571500</xdr:colOff>
      <xdr:row>33</xdr:row>
      <xdr:rowOff>95250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85725</xdr:colOff>
      <xdr:row>0</xdr:row>
      <xdr:rowOff>123825</xdr:rowOff>
    </xdr:from>
    <xdr:to>
      <xdr:col>17</xdr:col>
      <xdr:colOff>542925</xdr:colOff>
      <xdr:row>16</xdr:row>
      <xdr:rowOff>123825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17</xdr:row>
      <xdr:rowOff>95250</xdr:rowOff>
    </xdr:from>
    <xdr:to>
      <xdr:col>17</xdr:col>
      <xdr:colOff>571500</xdr:colOff>
      <xdr:row>33</xdr:row>
      <xdr:rowOff>95250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85725</xdr:colOff>
      <xdr:row>0</xdr:row>
      <xdr:rowOff>123825</xdr:rowOff>
    </xdr:from>
    <xdr:to>
      <xdr:col>17</xdr:col>
      <xdr:colOff>542925</xdr:colOff>
      <xdr:row>16</xdr:row>
      <xdr:rowOff>123825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17</xdr:row>
      <xdr:rowOff>95250</xdr:rowOff>
    </xdr:from>
    <xdr:to>
      <xdr:col>17</xdr:col>
      <xdr:colOff>571500</xdr:colOff>
      <xdr:row>33</xdr:row>
      <xdr:rowOff>95250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85725</xdr:colOff>
      <xdr:row>0</xdr:row>
      <xdr:rowOff>123825</xdr:rowOff>
    </xdr:from>
    <xdr:to>
      <xdr:col>17</xdr:col>
      <xdr:colOff>542925</xdr:colOff>
      <xdr:row>16</xdr:row>
      <xdr:rowOff>123825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17</xdr:row>
      <xdr:rowOff>95250</xdr:rowOff>
    </xdr:from>
    <xdr:to>
      <xdr:col>17</xdr:col>
      <xdr:colOff>571500</xdr:colOff>
      <xdr:row>33</xdr:row>
      <xdr:rowOff>95250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85725</xdr:colOff>
      <xdr:row>0</xdr:row>
      <xdr:rowOff>123825</xdr:rowOff>
    </xdr:from>
    <xdr:to>
      <xdr:col>17</xdr:col>
      <xdr:colOff>542925</xdr:colOff>
      <xdr:row>16</xdr:row>
      <xdr:rowOff>123825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17</xdr:row>
      <xdr:rowOff>95250</xdr:rowOff>
    </xdr:from>
    <xdr:to>
      <xdr:col>17</xdr:col>
      <xdr:colOff>571500</xdr:colOff>
      <xdr:row>33</xdr:row>
      <xdr:rowOff>95250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85725</xdr:colOff>
      <xdr:row>0</xdr:row>
      <xdr:rowOff>123825</xdr:rowOff>
    </xdr:from>
    <xdr:to>
      <xdr:col>17</xdr:col>
      <xdr:colOff>542925</xdr:colOff>
      <xdr:row>16</xdr:row>
      <xdr:rowOff>123825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123825</xdr:rowOff>
    </xdr:from>
    <xdr:to>
      <xdr:col>13</xdr:col>
      <xdr:colOff>523875</xdr:colOff>
      <xdr:row>38</xdr:row>
      <xdr:rowOff>63500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607219</xdr:colOff>
      <xdr:row>25</xdr:row>
      <xdr:rowOff>33335</xdr:rowOff>
    </xdr:from>
    <xdr:to>
      <xdr:col>9</xdr:col>
      <xdr:colOff>511971</xdr:colOff>
      <xdr:row>42</xdr:row>
      <xdr:rowOff>35719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666751</xdr:colOff>
      <xdr:row>0</xdr:row>
      <xdr:rowOff>45243</xdr:rowOff>
    </xdr:from>
    <xdr:to>
      <xdr:col>24</xdr:col>
      <xdr:colOff>285751</xdr:colOff>
      <xdr:row>41</xdr:row>
      <xdr:rowOff>95248</xdr:rowOff>
    </xdr:to>
    <xdr:graphicFrame macro="">
      <xdr:nvGraphicFramePr>
        <xdr:cNvPr id="5" name="グラフ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1</xdr:row>
      <xdr:rowOff>104775</xdr:rowOff>
    </xdr:from>
    <xdr:to>
      <xdr:col>12</xdr:col>
      <xdr:colOff>295275</xdr:colOff>
      <xdr:row>32</xdr:row>
      <xdr:rowOff>76200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685799</xdr:colOff>
      <xdr:row>35</xdr:row>
      <xdr:rowOff>47625</xdr:rowOff>
    </xdr:from>
    <xdr:to>
      <xdr:col>12</xdr:col>
      <xdr:colOff>180974</xdr:colOff>
      <xdr:row>58</xdr:row>
      <xdr:rowOff>47624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28575</xdr:colOff>
      <xdr:row>60</xdr:row>
      <xdr:rowOff>85726</xdr:rowOff>
    </xdr:from>
    <xdr:to>
      <xdr:col>12</xdr:col>
      <xdr:colOff>168519</xdr:colOff>
      <xdr:row>88</xdr:row>
      <xdr:rowOff>87923</xdr:rowOff>
    </xdr:to>
    <xdr:graphicFrame macro="">
      <xdr:nvGraphicFramePr>
        <xdr:cNvPr id="4" name="グラフ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361949</xdr:colOff>
      <xdr:row>6</xdr:row>
      <xdr:rowOff>138111</xdr:rowOff>
    </xdr:from>
    <xdr:to>
      <xdr:col>19</xdr:col>
      <xdr:colOff>657224</xdr:colOff>
      <xdr:row>33</xdr:row>
      <xdr:rowOff>85724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525;&#12508;&#12486;&#12451;&#12463;&#12473;/&#21330;&#26989;&#35542;&#25991;/Fig/APC&#12506;&#12521;&#12487;&#12540;&#12479;SI_ver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OMA-3820-960"/>
      <sheetName val="A30-8XL"/>
      <sheetName val="ZS3020-10"/>
      <sheetName val="ZS2209-30"/>
      <sheetName val="Z2213-24"/>
      <sheetName val="Z2209-32"/>
      <sheetName val="Graph"/>
      <sheetName val="Sheet8"/>
      <sheetName val="Sheet4"/>
      <sheetName val="静止推力測定"/>
      <sheetName val="卒論向け"/>
      <sheetName val="実験データ"/>
    </sheetNames>
    <sheetDataSet>
      <sheetData sheetId="0">
        <row r="16">
          <cell r="B16">
            <v>3000</v>
          </cell>
          <cell r="F16">
            <v>2.5755193799999998</v>
          </cell>
        </row>
        <row r="17">
          <cell r="B17">
            <v>4000</v>
          </cell>
          <cell r="F17">
            <v>4.5861148199999997</v>
          </cell>
        </row>
        <row r="18">
          <cell r="B18">
            <v>5000</v>
          </cell>
          <cell r="F18">
            <v>7.1838753000000004</v>
          </cell>
        </row>
        <row r="19">
          <cell r="B19">
            <v>6000</v>
          </cell>
          <cell r="F19">
            <v>10.3643526</v>
          </cell>
        </row>
        <row r="20">
          <cell r="B20">
            <v>7000</v>
          </cell>
          <cell r="F20">
            <v>14.163132480000002</v>
          </cell>
        </row>
        <row r="21">
          <cell r="B21">
            <v>8000</v>
          </cell>
          <cell r="F21">
            <v>18.744799080000003</v>
          </cell>
        </row>
        <row r="22">
          <cell r="B22">
            <v>9000</v>
          </cell>
          <cell r="F22">
            <v>24.05152554</v>
          </cell>
        </row>
        <row r="23">
          <cell r="B23">
            <v>10000</v>
          </cell>
          <cell r="F23">
            <v>30.123345840000002</v>
          </cell>
        </row>
        <row r="35">
          <cell r="B35">
            <v>3000</v>
          </cell>
          <cell r="F35">
            <v>4.7453610959999996E-2</v>
          </cell>
        </row>
        <row r="36">
          <cell r="B36">
            <v>4000</v>
          </cell>
          <cell r="F36">
            <v>8.4738591000000002E-2</v>
          </cell>
        </row>
        <row r="37">
          <cell r="B37">
            <v>5000</v>
          </cell>
          <cell r="F37">
            <v>0.12959355183599999</v>
          </cell>
        </row>
        <row r="38">
          <cell r="B38">
            <v>6000</v>
          </cell>
          <cell r="F38">
            <v>0.18247043262000001</v>
          </cell>
        </row>
        <row r="39">
          <cell r="B39">
            <v>7000</v>
          </cell>
          <cell r="F39">
            <v>0.24461206602000002</v>
          </cell>
        </row>
        <row r="40">
          <cell r="B40">
            <v>8000</v>
          </cell>
          <cell r="F40">
            <v>0.36268116948000001</v>
          </cell>
        </row>
        <row r="41">
          <cell r="B41">
            <v>9000</v>
          </cell>
          <cell r="F41">
            <v>0.51441973976400002</v>
          </cell>
        </row>
        <row r="42">
          <cell r="B42">
            <v>10000</v>
          </cell>
          <cell r="F42">
            <v>0.70683283372799999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>
            <v>3000</v>
          </cell>
          <cell r="G2">
            <v>2.1</v>
          </cell>
        </row>
        <row r="3">
          <cell r="A3">
            <v>4000</v>
          </cell>
          <cell r="G3">
            <v>4.2799999999999994</v>
          </cell>
        </row>
        <row r="4">
          <cell r="A4">
            <v>5000</v>
          </cell>
          <cell r="G4">
            <v>6.2</v>
          </cell>
        </row>
        <row r="5">
          <cell r="A5">
            <v>6000</v>
          </cell>
          <cell r="G5">
            <v>9.6800000000000015</v>
          </cell>
        </row>
        <row r="6">
          <cell r="A6">
            <v>7000</v>
          </cell>
          <cell r="G6">
            <v>12.98</v>
          </cell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powers-international.com/aero/hacker/a20evo.ht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powers-international.com/aero/hacker/a20evo.ht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55"/>
  <sheetViews>
    <sheetView tabSelected="1" topLeftCell="G10" workbookViewId="0">
      <selection activeCell="L14" sqref="L14:L33"/>
    </sheetView>
  </sheetViews>
  <sheetFormatPr defaultRowHeight="13.5" x14ac:dyDescent="0.15"/>
  <cols>
    <col min="3" max="3" width="8.5" bestFit="1" customWidth="1"/>
    <col min="5" max="5" width="8" bestFit="1" customWidth="1"/>
  </cols>
  <sheetData>
    <row r="1" spans="2:26" x14ac:dyDescent="0.15">
      <c r="C1" t="s">
        <v>6</v>
      </c>
    </row>
    <row r="3" spans="2:26" x14ac:dyDescent="0.15">
      <c r="C3" t="s">
        <v>4</v>
      </c>
      <c r="D3">
        <v>0.45358999999999999</v>
      </c>
      <c r="E3" t="s">
        <v>5</v>
      </c>
      <c r="F3">
        <f>D3*1000</f>
        <v>453.59</v>
      </c>
      <c r="G3" t="s">
        <v>1</v>
      </c>
    </row>
    <row r="4" spans="2:26" x14ac:dyDescent="0.15">
      <c r="C4" t="s">
        <v>12</v>
      </c>
      <c r="D4">
        <v>4.4482200000000001</v>
      </c>
      <c r="E4" t="s">
        <v>7</v>
      </c>
    </row>
    <row r="5" spans="2:26" x14ac:dyDescent="0.15">
      <c r="D5">
        <f>D4/D3</f>
        <v>9.8066976785202495</v>
      </c>
    </row>
    <row r="7" spans="2:26" x14ac:dyDescent="0.15">
      <c r="C7" t="s">
        <v>13</v>
      </c>
      <c r="D7">
        <v>25.4</v>
      </c>
      <c r="E7" t="s">
        <v>9</v>
      </c>
      <c r="F7">
        <f>D7/1000</f>
        <v>2.5399999999999999E-2</v>
      </c>
      <c r="G7" t="s">
        <v>8</v>
      </c>
    </row>
    <row r="9" spans="2:26" x14ac:dyDescent="0.15">
      <c r="C9" t="s">
        <v>10</v>
      </c>
      <c r="D9">
        <f>D4*F7</f>
        <v>0.112984788</v>
      </c>
      <c r="E9" t="s">
        <v>11</v>
      </c>
      <c r="I9">
        <v>9.81</v>
      </c>
    </row>
    <row r="12" spans="2:26" x14ac:dyDescent="0.15">
      <c r="C12" s="36" t="s">
        <v>3</v>
      </c>
      <c r="D12" s="36"/>
      <c r="E12" s="36" t="s">
        <v>2</v>
      </c>
      <c r="F12" s="36"/>
      <c r="M12" s="36" t="s">
        <v>234</v>
      </c>
      <c r="N12" s="36"/>
      <c r="O12" s="36"/>
      <c r="P12" s="36"/>
      <c r="U12" s="36" t="s">
        <v>238</v>
      </c>
      <c r="V12" s="36"/>
      <c r="W12" s="36"/>
      <c r="X12" s="36"/>
    </row>
    <row r="13" spans="2:26" x14ac:dyDescent="0.15">
      <c r="C13" t="s">
        <v>0</v>
      </c>
      <c r="D13" t="s">
        <v>229</v>
      </c>
      <c r="E13" t="s">
        <v>0</v>
      </c>
      <c r="F13" t="s">
        <v>229</v>
      </c>
      <c r="H13" t="s">
        <v>231</v>
      </c>
      <c r="J13" t="s">
        <v>232</v>
      </c>
      <c r="K13" t="s">
        <v>233</v>
      </c>
      <c r="N13" t="s">
        <v>235</v>
      </c>
      <c r="O13" t="s">
        <v>233</v>
      </c>
      <c r="P13" t="s">
        <v>241</v>
      </c>
      <c r="Q13" t="s">
        <v>236</v>
      </c>
      <c r="R13" t="s">
        <v>237</v>
      </c>
      <c r="U13" t="s">
        <v>235</v>
      </c>
      <c r="V13" t="s">
        <v>233</v>
      </c>
      <c r="W13" t="s">
        <v>242</v>
      </c>
      <c r="X13" t="s">
        <v>239</v>
      </c>
      <c r="Y13" t="s">
        <v>240</v>
      </c>
      <c r="Z13" t="s">
        <v>243</v>
      </c>
    </row>
    <row r="14" spans="2:26" x14ac:dyDescent="0.15">
      <c r="B14">
        <v>1000</v>
      </c>
      <c r="C14">
        <v>5.3999999999999999E-2</v>
      </c>
      <c r="D14">
        <f>C14*$D$4</f>
        <v>0.24020388000000001</v>
      </c>
      <c r="E14">
        <v>6.7000000000000004E-2</v>
      </c>
      <c r="F14">
        <f>E14*$D$4</f>
        <v>0.29803074000000002</v>
      </c>
      <c r="H14">
        <v>9651</v>
      </c>
      <c r="I14">
        <f>H14/60</f>
        <v>160.85</v>
      </c>
      <c r="J14">
        <v>75</v>
      </c>
      <c r="K14">
        <f>J14*$I$9</f>
        <v>735.75</v>
      </c>
      <c r="L14">
        <v>1000</v>
      </c>
      <c r="M14">
        <f>L14/60</f>
        <v>16.666666666666668</v>
      </c>
      <c r="N14">
        <v>3.0000000000000001E-3</v>
      </c>
      <c r="O14">
        <f>N14*$D$4</f>
        <v>1.3344660000000001E-2</v>
      </c>
      <c r="P14">
        <f>O14*1000</f>
        <v>13.344660000000001</v>
      </c>
      <c r="Q14">
        <v>1E-3</v>
      </c>
      <c r="R14">
        <f>Q14*$D$9</f>
        <v>1.1298478800000001E-4</v>
      </c>
      <c r="U14">
        <v>2E-3</v>
      </c>
      <c r="V14">
        <f>U14*$D$4</f>
        <v>8.8964400000000003E-3</v>
      </c>
      <c r="W14">
        <f>V14*1000</f>
        <v>8.8964400000000001</v>
      </c>
      <c r="X14">
        <v>1E-3</v>
      </c>
      <c r="Y14">
        <f>X14*$D$9</f>
        <v>1.1298478800000001E-4</v>
      </c>
      <c r="Z14">
        <f>Y14*10^6</f>
        <v>112.98478800000001</v>
      </c>
    </row>
    <row r="15" spans="2:26" x14ac:dyDescent="0.15">
      <c r="B15">
        <v>2000</v>
      </c>
      <c r="C15">
        <v>0.216</v>
      </c>
      <c r="D15">
        <f t="shared" ref="D15:D20" si="0">C15*$D$4</f>
        <v>0.96081552000000003</v>
      </c>
      <c r="E15">
        <v>0.26900000000000002</v>
      </c>
      <c r="F15">
        <f t="shared" ref="F15:F23" si="1">E15*$D$4</f>
        <v>1.1965711800000001</v>
      </c>
      <c r="H15">
        <v>12823</v>
      </c>
      <c r="I15">
        <f t="shared" ref="I15:I22" si="2">H15/60</f>
        <v>213.71666666666667</v>
      </c>
      <c r="J15">
        <v>133</v>
      </c>
      <c r="K15">
        <f t="shared" ref="K15:K22" si="3">J15*$I$9</f>
        <v>1304.73</v>
      </c>
      <c r="L15">
        <v>2000</v>
      </c>
      <c r="M15">
        <f t="shared" ref="M15:M33" si="4">L15/60</f>
        <v>33.333333333333336</v>
      </c>
      <c r="N15">
        <v>0.01</v>
      </c>
      <c r="O15">
        <f t="shared" ref="O15:O33" si="5">N15*$D$4</f>
        <v>4.44822E-2</v>
      </c>
      <c r="P15">
        <f t="shared" ref="P15:P33" si="6">O15*1000</f>
        <v>44.482199999999999</v>
      </c>
      <c r="Q15">
        <v>4.0000000000000001E-3</v>
      </c>
      <c r="R15">
        <f t="shared" ref="R15:R33" si="7">Q15*$D$9</f>
        <v>4.5193915200000004E-4</v>
      </c>
      <c r="U15">
        <v>8.9999999999999993E-3</v>
      </c>
      <c r="V15">
        <f t="shared" ref="V15:V33" si="8">U15*$D$4</f>
        <v>4.0033979999999997E-2</v>
      </c>
      <c r="W15">
        <f t="shared" ref="W15:W33" si="9">V15*1000</f>
        <v>40.03398</v>
      </c>
      <c r="X15">
        <v>3.0000000000000001E-3</v>
      </c>
      <c r="Y15">
        <f t="shared" ref="Y15:Y33" si="10">X15*$D$9</f>
        <v>3.3895436399999999E-4</v>
      </c>
      <c r="Z15">
        <f t="shared" ref="Z15:Z33" si="11">Y15*10^6</f>
        <v>338.954364</v>
      </c>
    </row>
    <row r="16" spans="2:26" x14ac:dyDescent="0.15">
      <c r="B16">
        <v>3000</v>
      </c>
      <c r="C16">
        <v>0.47799999999999998</v>
      </c>
      <c r="D16">
        <f t="shared" si="0"/>
        <v>2.12624916</v>
      </c>
      <c r="E16">
        <v>0.60799999999999998</v>
      </c>
      <c r="F16">
        <f t="shared" si="1"/>
        <v>2.7045177599999999</v>
      </c>
      <c r="H16">
        <v>15026</v>
      </c>
      <c r="I16">
        <f t="shared" si="2"/>
        <v>250.43333333333334</v>
      </c>
      <c r="J16">
        <v>185</v>
      </c>
      <c r="K16">
        <f t="shared" si="3"/>
        <v>1814.8500000000001</v>
      </c>
      <c r="L16">
        <v>3000</v>
      </c>
      <c r="M16">
        <f t="shared" si="4"/>
        <v>50</v>
      </c>
      <c r="N16">
        <v>2.3E-2</v>
      </c>
      <c r="O16">
        <f t="shared" si="5"/>
        <v>0.10230905999999999</v>
      </c>
      <c r="P16">
        <f t="shared" si="6"/>
        <v>102.30905999999999</v>
      </c>
      <c r="Q16">
        <v>8.0000000000000002E-3</v>
      </c>
      <c r="R16">
        <f t="shared" si="7"/>
        <v>9.0387830400000008E-4</v>
      </c>
      <c r="U16">
        <v>0.02</v>
      </c>
      <c r="V16">
        <f t="shared" si="8"/>
        <v>8.8964399999999999E-2</v>
      </c>
      <c r="W16">
        <f t="shared" si="9"/>
        <v>88.964399999999998</v>
      </c>
      <c r="X16">
        <v>7.0000000000000001E-3</v>
      </c>
      <c r="Y16">
        <f t="shared" si="10"/>
        <v>7.9089351600000008E-4</v>
      </c>
      <c r="Z16">
        <f t="shared" si="11"/>
        <v>790.89351600000009</v>
      </c>
    </row>
    <row r="17" spans="2:26" x14ac:dyDescent="0.15">
      <c r="B17">
        <v>4000</v>
      </c>
      <c r="C17">
        <v>0.86699999999999999</v>
      </c>
      <c r="D17">
        <f t="shared" si="0"/>
        <v>3.8566067400000001</v>
      </c>
      <c r="E17">
        <v>1.081</v>
      </c>
      <c r="F17">
        <f t="shared" si="1"/>
        <v>4.8085258199999998</v>
      </c>
      <c r="H17">
        <v>16800</v>
      </c>
      <c r="I17">
        <f t="shared" si="2"/>
        <v>280</v>
      </c>
      <c r="J17">
        <v>233</v>
      </c>
      <c r="K17">
        <f t="shared" si="3"/>
        <v>2285.73</v>
      </c>
      <c r="L17">
        <v>4000</v>
      </c>
      <c r="M17">
        <f t="shared" si="4"/>
        <v>66.666666666666671</v>
      </c>
      <c r="N17">
        <v>4.1000000000000002E-2</v>
      </c>
      <c r="O17">
        <f t="shared" si="5"/>
        <v>0.18237702</v>
      </c>
      <c r="P17">
        <f t="shared" si="6"/>
        <v>182.37701999999999</v>
      </c>
      <c r="Q17">
        <v>1.4999999999999999E-2</v>
      </c>
      <c r="R17">
        <f t="shared" si="7"/>
        <v>1.6947718200000001E-3</v>
      </c>
      <c r="U17">
        <v>3.5999999999999997E-2</v>
      </c>
      <c r="V17">
        <f t="shared" si="8"/>
        <v>0.16013591999999999</v>
      </c>
      <c r="W17">
        <f t="shared" si="9"/>
        <v>160.13592</v>
      </c>
      <c r="X17">
        <v>1.2999999999999999E-2</v>
      </c>
      <c r="Y17">
        <f t="shared" si="10"/>
        <v>1.4688022440000001E-3</v>
      </c>
      <c r="Z17">
        <f t="shared" si="11"/>
        <v>1468.802244</v>
      </c>
    </row>
    <row r="18" spans="2:26" x14ac:dyDescent="0.15">
      <c r="B18">
        <v>5000</v>
      </c>
      <c r="C18">
        <v>1.3560000000000001</v>
      </c>
      <c r="D18">
        <f t="shared" si="0"/>
        <v>6.0317863200000001</v>
      </c>
      <c r="E18">
        <v>1.6879999999999999</v>
      </c>
      <c r="F18">
        <f t="shared" si="1"/>
        <v>7.5085953600000002</v>
      </c>
      <c r="H18">
        <v>18283</v>
      </c>
      <c r="I18">
        <f t="shared" si="2"/>
        <v>304.71666666666664</v>
      </c>
      <c r="J18">
        <v>273</v>
      </c>
      <c r="K18">
        <f t="shared" si="3"/>
        <v>2678.13</v>
      </c>
      <c r="L18">
        <v>5000</v>
      </c>
      <c r="M18">
        <f t="shared" si="4"/>
        <v>83.333333333333329</v>
      </c>
      <c r="N18">
        <v>6.3E-2</v>
      </c>
      <c r="O18">
        <f t="shared" si="5"/>
        <v>0.28023786000000001</v>
      </c>
      <c r="P18">
        <f t="shared" si="6"/>
        <v>280.23786000000001</v>
      </c>
      <c r="Q18">
        <v>2.3E-2</v>
      </c>
      <c r="R18">
        <f t="shared" si="7"/>
        <v>2.598650124E-3</v>
      </c>
      <c r="U18">
        <v>5.7000000000000002E-2</v>
      </c>
      <c r="V18">
        <f t="shared" si="8"/>
        <v>0.25354853999999999</v>
      </c>
      <c r="W18">
        <f t="shared" si="9"/>
        <v>253.54854</v>
      </c>
      <c r="X18">
        <v>0.02</v>
      </c>
      <c r="Y18">
        <f t="shared" si="10"/>
        <v>2.2596957599999999E-3</v>
      </c>
      <c r="Z18">
        <f t="shared" si="11"/>
        <v>2259.6957600000001</v>
      </c>
    </row>
    <row r="19" spans="2:26" x14ac:dyDescent="0.15">
      <c r="B19">
        <v>6000</v>
      </c>
      <c r="C19">
        <v>1.9550000000000001</v>
      </c>
      <c r="D19">
        <f t="shared" si="0"/>
        <v>8.6962700999999996</v>
      </c>
      <c r="E19">
        <v>2.4420000000000002</v>
      </c>
      <c r="F19">
        <f t="shared" si="1"/>
        <v>10.86255324</v>
      </c>
      <c r="H19">
        <v>19749</v>
      </c>
      <c r="I19">
        <f t="shared" si="2"/>
        <v>329.15</v>
      </c>
      <c r="J19">
        <v>318</v>
      </c>
      <c r="K19">
        <f t="shared" si="3"/>
        <v>3119.5800000000004</v>
      </c>
      <c r="L19">
        <v>6000</v>
      </c>
      <c r="M19">
        <f t="shared" si="4"/>
        <v>100</v>
      </c>
      <c r="N19">
        <v>9.0999999999999998E-2</v>
      </c>
      <c r="O19">
        <f t="shared" si="5"/>
        <v>0.40478801999999997</v>
      </c>
      <c r="P19">
        <f t="shared" si="6"/>
        <v>404.78801999999996</v>
      </c>
      <c r="Q19">
        <v>3.4000000000000002E-2</v>
      </c>
      <c r="R19">
        <f t="shared" si="7"/>
        <v>3.8414827920000005E-3</v>
      </c>
      <c r="U19">
        <v>8.2000000000000003E-2</v>
      </c>
      <c r="V19">
        <f t="shared" si="8"/>
        <v>0.36475404</v>
      </c>
      <c r="W19">
        <f t="shared" si="9"/>
        <v>364.75403999999997</v>
      </c>
      <c r="X19">
        <v>2.9000000000000001E-2</v>
      </c>
      <c r="Y19">
        <f t="shared" si="10"/>
        <v>3.2765588520000002E-3</v>
      </c>
      <c r="Z19">
        <f t="shared" si="11"/>
        <v>3276.5588520000001</v>
      </c>
    </row>
    <row r="20" spans="2:26" x14ac:dyDescent="0.15">
      <c r="B20">
        <v>7000</v>
      </c>
      <c r="C20">
        <v>2.6680000000000001</v>
      </c>
      <c r="D20">
        <f t="shared" si="0"/>
        <v>11.86785096</v>
      </c>
      <c r="E20">
        <v>3.335</v>
      </c>
      <c r="F20">
        <f t="shared" si="1"/>
        <v>14.8348137</v>
      </c>
      <c r="H20">
        <v>20974</v>
      </c>
      <c r="I20">
        <f t="shared" si="2"/>
        <v>349.56666666666666</v>
      </c>
      <c r="J20">
        <v>353</v>
      </c>
      <c r="K20">
        <f t="shared" si="3"/>
        <v>3462.9300000000003</v>
      </c>
      <c r="L20">
        <v>7000</v>
      </c>
      <c r="M20">
        <f t="shared" si="4"/>
        <v>116.66666666666667</v>
      </c>
      <c r="N20">
        <v>0.124</v>
      </c>
      <c r="O20">
        <f t="shared" si="5"/>
        <v>0.55157928000000001</v>
      </c>
      <c r="P20">
        <f t="shared" si="6"/>
        <v>551.57928000000004</v>
      </c>
      <c r="Q20">
        <v>4.5999999999999999E-2</v>
      </c>
      <c r="R20">
        <f t="shared" si="7"/>
        <v>5.1973002480000001E-3</v>
      </c>
      <c r="U20">
        <v>0.112</v>
      </c>
      <c r="V20">
        <f t="shared" si="8"/>
        <v>0.49820064000000003</v>
      </c>
      <c r="W20">
        <f t="shared" si="9"/>
        <v>498.20064000000002</v>
      </c>
      <c r="X20">
        <v>3.9E-2</v>
      </c>
      <c r="Y20">
        <f t="shared" si="10"/>
        <v>4.4064067320000004E-3</v>
      </c>
      <c r="Z20">
        <f t="shared" si="11"/>
        <v>4406.4067320000004</v>
      </c>
    </row>
    <row r="21" spans="2:26" x14ac:dyDescent="0.15">
      <c r="B21">
        <v>8000</v>
      </c>
      <c r="E21">
        <v>4.4240000000000004</v>
      </c>
      <c r="F21">
        <f t="shared" si="1"/>
        <v>19.678925280000001</v>
      </c>
      <c r="H21">
        <v>22029</v>
      </c>
      <c r="I21">
        <f t="shared" si="2"/>
        <v>367.15</v>
      </c>
      <c r="J21">
        <v>390</v>
      </c>
      <c r="K21">
        <f t="shared" si="3"/>
        <v>3825.9</v>
      </c>
      <c r="L21">
        <v>8000</v>
      </c>
      <c r="M21">
        <f t="shared" si="4"/>
        <v>133.33333333333334</v>
      </c>
      <c r="N21">
        <v>0.16200000000000001</v>
      </c>
      <c r="O21">
        <f t="shared" si="5"/>
        <v>0.72061164</v>
      </c>
      <c r="P21">
        <f t="shared" si="6"/>
        <v>720.61163999999997</v>
      </c>
      <c r="Q21">
        <v>0.06</v>
      </c>
      <c r="R21">
        <f t="shared" si="7"/>
        <v>6.7790872800000002E-3</v>
      </c>
      <c r="U21">
        <v>0.14599999999999999</v>
      </c>
      <c r="V21">
        <f t="shared" si="8"/>
        <v>0.64944011999999995</v>
      </c>
      <c r="W21">
        <f t="shared" si="9"/>
        <v>649.44011999999998</v>
      </c>
      <c r="X21">
        <v>5.0999999999999997E-2</v>
      </c>
      <c r="Y21">
        <f t="shared" si="10"/>
        <v>5.7622241879999999E-3</v>
      </c>
      <c r="Z21">
        <f t="shared" si="11"/>
        <v>5762.2241880000001</v>
      </c>
    </row>
    <row r="22" spans="2:26" x14ac:dyDescent="0.15">
      <c r="B22">
        <v>9000</v>
      </c>
      <c r="E22">
        <v>5.6529999999999996</v>
      </c>
      <c r="F22">
        <f t="shared" si="1"/>
        <v>25.14578766</v>
      </c>
      <c r="H22">
        <v>22894</v>
      </c>
      <c r="I22">
        <f t="shared" si="2"/>
        <v>381.56666666666666</v>
      </c>
      <c r="J22">
        <v>425</v>
      </c>
      <c r="K22">
        <f t="shared" si="3"/>
        <v>4169.25</v>
      </c>
      <c r="L22">
        <v>9000</v>
      </c>
      <c r="M22">
        <f t="shared" si="4"/>
        <v>150</v>
      </c>
      <c r="N22">
        <v>0.20599999999999999</v>
      </c>
      <c r="O22">
        <f t="shared" si="5"/>
        <v>0.91633332000000001</v>
      </c>
      <c r="P22">
        <f t="shared" si="6"/>
        <v>916.33331999999996</v>
      </c>
      <c r="Q22">
        <v>7.5999999999999998E-2</v>
      </c>
      <c r="R22">
        <f t="shared" si="7"/>
        <v>8.5868438880000002E-3</v>
      </c>
      <c r="U22">
        <v>0.185</v>
      </c>
      <c r="V22">
        <f t="shared" si="8"/>
        <v>0.82292069999999995</v>
      </c>
      <c r="W22">
        <f t="shared" si="9"/>
        <v>822.9206999999999</v>
      </c>
      <c r="X22">
        <v>6.5000000000000002E-2</v>
      </c>
      <c r="Y22">
        <f t="shared" si="10"/>
        <v>7.3440112200000001E-3</v>
      </c>
      <c r="Z22">
        <f t="shared" si="11"/>
        <v>7344.0112200000003</v>
      </c>
    </row>
    <row r="23" spans="2:26" x14ac:dyDescent="0.15">
      <c r="B23">
        <v>10000</v>
      </c>
      <c r="E23">
        <v>7.0529999999999999</v>
      </c>
      <c r="F23">
        <f t="shared" si="1"/>
        <v>31.37329566</v>
      </c>
      <c r="L23">
        <v>10000</v>
      </c>
      <c r="M23">
        <f t="shared" si="4"/>
        <v>166.66666666666666</v>
      </c>
      <c r="N23">
        <v>0.254</v>
      </c>
      <c r="O23">
        <f t="shared" si="5"/>
        <v>1.12984788</v>
      </c>
      <c r="P23">
        <f t="shared" si="6"/>
        <v>1129.84788</v>
      </c>
      <c r="Q23">
        <v>9.4E-2</v>
      </c>
      <c r="R23">
        <f t="shared" si="7"/>
        <v>1.0620570072000001E-2</v>
      </c>
      <c r="U23">
        <v>0.22800000000000001</v>
      </c>
      <c r="V23">
        <f t="shared" si="8"/>
        <v>1.01419416</v>
      </c>
      <c r="W23">
        <f t="shared" si="9"/>
        <v>1014.19416</v>
      </c>
      <c r="X23">
        <v>0.08</v>
      </c>
      <c r="Y23">
        <f t="shared" si="10"/>
        <v>9.0387830399999997E-3</v>
      </c>
      <c r="Z23">
        <f t="shared" si="11"/>
        <v>9038.7830400000003</v>
      </c>
    </row>
    <row r="24" spans="2:26" x14ac:dyDescent="0.15">
      <c r="L24">
        <v>11000</v>
      </c>
      <c r="M24">
        <f t="shared" si="4"/>
        <v>183.33333333333334</v>
      </c>
      <c r="N24">
        <v>0.308</v>
      </c>
      <c r="O24">
        <f t="shared" si="5"/>
        <v>1.37005176</v>
      </c>
      <c r="P24">
        <f t="shared" si="6"/>
        <v>1370.0517600000001</v>
      </c>
      <c r="Q24">
        <v>0.115</v>
      </c>
      <c r="R24">
        <f t="shared" si="7"/>
        <v>1.2993250620000001E-2</v>
      </c>
      <c r="U24">
        <v>0.27600000000000002</v>
      </c>
      <c r="V24">
        <f t="shared" si="8"/>
        <v>1.2277087200000001</v>
      </c>
      <c r="W24">
        <f t="shared" si="9"/>
        <v>1227.7087200000001</v>
      </c>
      <c r="X24">
        <v>9.7000000000000003E-2</v>
      </c>
      <c r="Y24">
        <f t="shared" si="10"/>
        <v>1.0959524436E-2</v>
      </c>
      <c r="Z24">
        <f t="shared" si="11"/>
        <v>10959.524436</v>
      </c>
    </row>
    <row r="25" spans="2:26" x14ac:dyDescent="0.15">
      <c r="C25">
        <v>1.6559999999999999</v>
      </c>
      <c r="D25">
        <f>C25*$D$4</f>
        <v>7.3662523200000001</v>
      </c>
      <c r="L25">
        <v>12000</v>
      </c>
      <c r="M25">
        <f t="shared" si="4"/>
        <v>200</v>
      </c>
      <c r="N25">
        <v>0.36599999999999999</v>
      </c>
      <c r="O25">
        <f t="shared" si="5"/>
        <v>1.6280485199999999</v>
      </c>
      <c r="P25">
        <f t="shared" si="6"/>
        <v>1628.0485199999998</v>
      </c>
      <c r="Q25">
        <v>0.13700000000000001</v>
      </c>
      <c r="R25">
        <f t="shared" si="7"/>
        <v>1.5478915956000001E-2</v>
      </c>
      <c r="U25">
        <v>0.32900000000000001</v>
      </c>
      <c r="V25">
        <f t="shared" si="8"/>
        <v>1.46346438</v>
      </c>
      <c r="W25">
        <f t="shared" si="9"/>
        <v>1463.4643800000001</v>
      </c>
      <c r="X25">
        <v>0.11600000000000001</v>
      </c>
      <c r="Y25">
        <f t="shared" si="10"/>
        <v>1.3106235408000001E-2</v>
      </c>
      <c r="Z25">
        <f t="shared" si="11"/>
        <v>13106.235408</v>
      </c>
    </row>
    <row r="26" spans="2:26" x14ac:dyDescent="0.15">
      <c r="L26">
        <v>13000</v>
      </c>
      <c r="M26">
        <f t="shared" si="4"/>
        <v>216.66666666666666</v>
      </c>
      <c r="N26">
        <v>0.43</v>
      </c>
      <c r="O26">
        <f t="shared" si="5"/>
        <v>1.9127346000000001</v>
      </c>
      <c r="P26">
        <f t="shared" si="6"/>
        <v>1912.7346</v>
      </c>
      <c r="Q26">
        <v>0.161</v>
      </c>
      <c r="R26">
        <f t="shared" si="7"/>
        <v>1.8190550868000002E-2</v>
      </c>
      <c r="U26">
        <v>0.38700000000000001</v>
      </c>
      <c r="V26">
        <f t="shared" si="8"/>
        <v>1.7214611400000002</v>
      </c>
      <c r="W26">
        <f t="shared" si="9"/>
        <v>1721.4611400000001</v>
      </c>
      <c r="X26">
        <v>0.13700000000000001</v>
      </c>
      <c r="Y26">
        <f t="shared" si="10"/>
        <v>1.5478915956000001E-2</v>
      </c>
      <c r="Z26">
        <f t="shared" si="11"/>
        <v>15478.915956000001</v>
      </c>
    </row>
    <row r="27" spans="2:26" x14ac:dyDescent="0.15">
      <c r="L27">
        <v>14000</v>
      </c>
      <c r="M27">
        <f t="shared" si="4"/>
        <v>233.33333333333334</v>
      </c>
      <c r="N27">
        <v>0.5</v>
      </c>
      <c r="O27">
        <f t="shared" si="5"/>
        <v>2.22411</v>
      </c>
      <c r="P27">
        <f t="shared" si="6"/>
        <v>2224.11</v>
      </c>
      <c r="Q27">
        <v>0.187</v>
      </c>
      <c r="R27">
        <f t="shared" si="7"/>
        <v>2.1128155355999999E-2</v>
      </c>
      <c r="U27">
        <v>0.44900000000000001</v>
      </c>
      <c r="V27">
        <f t="shared" si="8"/>
        <v>1.9972507800000001</v>
      </c>
      <c r="W27">
        <f t="shared" si="9"/>
        <v>1997.2507800000001</v>
      </c>
      <c r="X27">
        <v>0.159</v>
      </c>
      <c r="Y27">
        <f t="shared" si="10"/>
        <v>1.7964581292000001E-2</v>
      </c>
      <c r="Z27">
        <f t="shared" si="11"/>
        <v>17964.581292000003</v>
      </c>
    </row>
    <row r="28" spans="2:26" x14ac:dyDescent="0.15">
      <c r="L28">
        <v>15000</v>
      </c>
      <c r="M28">
        <f t="shared" si="4"/>
        <v>250</v>
      </c>
      <c r="N28">
        <v>0.57499999999999996</v>
      </c>
      <c r="O28">
        <f t="shared" si="5"/>
        <v>2.5577264999999998</v>
      </c>
      <c r="P28">
        <f t="shared" si="6"/>
        <v>2557.7264999999998</v>
      </c>
      <c r="Q28">
        <v>0.215</v>
      </c>
      <c r="R28">
        <f t="shared" si="7"/>
        <v>2.4291729420000002E-2</v>
      </c>
      <c r="U28">
        <v>0.51600000000000001</v>
      </c>
      <c r="V28">
        <f t="shared" si="8"/>
        <v>2.2952815200000001</v>
      </c>
      <c r="W28">
        <f t="shared" si="9"/>
        <v>2295.28152</v>
      </c>
      <c r="X28">
        <v>0.183</v>
      </c>
      <c r="Y28">
        <f t="shared" si="10"/>
        <v>2.0676216204000002E-2</v>
      </c>
      <c r="Z28">
        <f t="shared" si="11"/>
        <v>20676.216204</v>
      </c>
    </row>
    <row r="29" spans="2:26" x14ac:dyDescent="0.15">
      <c r="L29">
        <v>16000</v>
      </c>
      <c r="M29">
        <f t="shared" si="4"/>
        <v>266.66666666666669</v>
      </c>
      <c r="N29">
        <v>0.65500000000000003</v>
      </c>
      <c r="O29">
        <f t="shared" si="5"/>
        <v>2.9135841</v>
      </c>
      <c r="P29">
        <f t="shared" si="6"/>
        <v>2913.5841</v>
      </c>
      <c r="Q29">
        <v>0.245</v>
      </c>
      <c r="R29">
        <f t="shared" si="7"/>
        <v>2.7681273060000001E-2</v>
      </c>
      <c r="U29">
        <v>0.58799999999999997</v>
      </c>
      <c r="V29">
        <f t="shared" si="8"/>
        <v>2.6155533599999998</v>
      </c>
      <c r="W29">
        <f t="shared" si="9"/>
        <v>2615.5533599999999</v>
      </c>
      <c r="X29">
        <v>0.20899999999999999</v>
      </c>
      <c r="Y29">
        <f t="shared" si="10"/>
        <v>2.3613820692E-2</v>
      </c>
      <c r="Z29">
        <f t="shared" si="11"/>
        <v>23613.820692000001</v>
      </c>
    </row>
    <row r="30" spans="2:26" x14ac:dyDescent="0.15">
      <c r="L30">
        <v>17000</v>
      </c>
      <c r="M30">
        <f t="shared" si="4"/>
        <v>283.33333333333331</v>
      </c>
      <c r="N30">
        <v>0.74</v>
      </c>
      <c r="O30">
        <f t="shared" si="5"/>
        <v>3.2916827999999998</v>
      </c>
      <c r="P30">
        <f t="shared" si="6"/>
        <v>3291.6827999999996</v>
      </c>
      <c r="Q30">
        <v>0.27800000000000002</v>
      </c>
      <c r="R30">
        <f t="shared" si="7"/>
        <v>3.1409771064000003E-2</v>
      </c>
      <c r="U30">
        <v>0.66500000000000004</v>
      </c>
      <c r="V30">
        <f t="shared" si="8"/>
        <v>2.9580663</v>
      </c>
      <c r="W30">
        <f t="shared" si="9"/>
        <v>2958.0663</v>
      </c>
      <c r="X30">
        <v>0.23599999999999999</v>
      </c>
      <c r="Y30">
        <f t="shared" si="10"/>
        <v>2.6664409968E-2</v>
      </c>
      <c r="Z30">
        <f t="shared" si="11"/>
        <v>26664.409968</v>
      </c>
    </row>
    <row r="31" spans="2:26" x14ac:dyDescent="0.15">
      <c r="C31" s="36" t="s">
        <v>3</v>
      </c>
      <c r="D31" s="36"/>
      <c r="E31" s="36" t="s">
        <v>2</v>
      </c>
      <c r="F31" s="36"/>
      <c r="L31">
        <v>18000</v>
      </c>
      <c r="M31">
        <f t="shared" si="4"/>
        <v>300</v>
      </c>
      <c r="N31">
        <v>0.83099999999999996</v>
      </c>
      <c r="O31">
        <f t="shared" si="5"/>
        <v>3.69647082</v>
      </c>
      <c r="P31">
        <f t="shared" si="6"/>
        <v>3696.47082</v>
      </c>
      <c r="Q31">
        <v>0.311</v>
      </c>
      <c r="R31">
        <f t="shared" si="7"/>
        <v>3.5138269068000001E-2</v>
      </c>
      <c r="U31">
        <v>0.747</v>
      </c>
      <c r="V31">
        <f t="shared" si="8"/>
        <v>3.3228203399999998</v>
      </c>
      <c r="W31">
        <f t="shared" si="9"/>
        <v>3322.8203399999998</v>
      </c>
      <c r="X31">
        <v>0.26600000000000001</v>
      </c>
      <c r="Y31">
        <f t="shared" si="10"/>
        <v>3.0053953608000002E-2</v>
      </c>
      <c r="Z31">
        <f t="shared" si="11"/>
        <v>30053.953608000003</v>
      </c>
    </row>
    <row r="32" spans="2:26" x14ac:dyDescent="0.15">
      <c r="C32" t="s">
        <v>14</v>
      </c>
      <c r="D32" t="s">
        <v>11</v>
      </c>
      <c r="E32" t="s">
        <v>14</v>
      </c>
      <c r="F32" t="s">
        <v>11</v>
      </c>
      <c r="L32">
        <v>19000</v>
      </c>
      <c r="M32">
        <f t="shared" si="4"/>
        <v>316.66666666666669</v>
      </c>
      <c r="N32">
        <v>0.92700000000000005</v>
      </c>
      <c r="O32">
        <f t="shared" si="5"/>
        <v>4.1234999400000003</v>
      </c>
      <c r="P32">
        <f t="shared" si="6"/>
        <v>4123.4999400000006</v>
      </c>
      <c r="Q32">
        <v>0.34399999999999997</v>
      </c>
      <c r="R32">
        <f t="shared" si="7"/>
        <v>3.8866767072E-2</v>
      </c>
      <c r="U32">
        <v>0.83399999999999996</v>
      </c>
      <c r="V32">
        <f t="shared" si="8"/>
        <v>3.7098154800000001</v>
      </c>
      <c r="W32">
        <f t="shared" si="9"/>
        <v>3709.8154800000002</v>
      </c>
      <c r="X32">
        <v>0.29699999999999999</v>
      </c>
      <c r="Y32">
        <f t="shared" si="10"/>
        <v>3.3556482036E-2</v>
      </c>
      <c r="Z32">
        <f t="shared" si="11"/>
        <v>33556.482036000001</v>
      </c>
    </row>
    <row r="33" spans="2:26" x14ac:dyDescent="0.15">
      <c r="B33">
        <v>1000</v>
      </c>
      <c r="C33">
        <v>5.7000000000000002E-2</v>
      </c>
      <c r="D33">
        <f>C33*$D$9</f>
        <v>6.4401329160000001E-3</v>
      </c>
      <c r="E33">
        <v>7.6999999999999999E-2</v>
      </c>
      <c r="F33">
        <f>E33*$D$9</f>
        <v>8.6998286760000005E-3</v>
      </c>
      <c r="L33">
        <v>20000</v>
      </c>
      <c r="M33">
        <f t="shared" si="4"/>
        <v>333.33333333333331</v>
      </c>
      <c r="N33">
        <v>1.028</v>
      </c>
      <c r="O33">
        <f t="shared" si="5"/>
        <v>4.5727701600000001</v>
      </c>
      <c r="P33">
        <f t="shared" si="6"/>
        <v>4572.77016</v>
      </c>
      <c r="Q33">
        <v>0.38</v>
      </c>
      <c r="R33">
        <f t="shared" si="7"/>
        <v>4.2934219440000004E-2</v>
      </c>
      <c r="U33">
        <v>0.92500000000000004</v>
      </c>
      <c r="V33">
        <f t="shared" si="8"/>
        <v>4.1146035000000003</v>
      </c>
      <c r="W33">
        <f t="shared" si="9"/>
        <v>4114.6035000000002</v>
      </c>
      <c r="X33">
        <v>0.33100000000000002</v>
      </c>
      <c r="Y33">
        <f t="shared" si="10"/>
        <v>3.7397964828000001E-2</v>
      </c>
      <c r="Z33">
        <f t="shared" si="11"/>
        <v>37397.964828000004</v>
      </c>
    </row>
    <row r="34" spans="2:26" x14ac:dyDescent="0.15">
      <c r="B34">
        <v>2000</v>
      </c>
      <c r="C34">
        <v>0.22900000000000001</v>
      </c>
      <c r="D34">
        <f t="shared" ref="D34:D39" si="12">C34*$D$9</f>
        <v>2.5873516452000003E-2</v>
      </c>
      <c r="E34">
        <v>0.308</v>
      </c>
      <c r="F34">
        <f t="shared" ref="F34:F42" si="13">E34*$D$9</f>
        <v>3.4799314704000002E-2</v>
      </c>
    </row>
    <row r="35" spans="2:26" x14ac:dyDescent="0.15">
      <c r="B35">
        <v>3000</v>
      </c>
      <c r="C35">
        <v>0.51600000000000001</v>
      </c>
      <c r="D35">
        <f t="shared" si="12"/>
        <v>5.8300150608E-2</v>
      </c>
      <c r="E35">
        <v>0.69499999999999995</v>
      </c>
      <c r="F35">
        <f t="shared" si="13"/>
        <v>7.8524427659999993E-2</v>
      </c>
    </row>
    <row r="36" spans="2:26" x14ac:dyDescent="0.15">
      <c r="B36">
        <v>4000</v>
      </c>
      <c r="C36">
        <v>0.91900000000000004</v>
      </c>
      <c r="D36">
        <f t="shared" si="12"/>
        <v>0.10383302017200001</v>
      </c>
      <c r="E36">
        <v>1.216</v>
      </c>
      <c r="F36">
        <f t="shared" si="13"/>
        <v>0.137389502208</v>
      </c>
      <c r="L36">
        <v>16.666666666666668</v>
      </c>
      <c r="M36">
        <f>0.0374*L36^2-0.1385*L36</f>
        <v>8.0805555555555575</v>
      </c>
      <c r="N36">
        <f>0.3428*L36^2-2.6737*L36</f>
        <v>50.660555555555568</v>
      </c>
      <c r="O36">
        <f>0.0374*L36^2</f>
        <v>10.388888888888891</v>
      </c>
      <c r="P36">
        <f>0.3428*L36^2</f>
        <v>95.222222222222243</v>
      </c>
    </row>
    <row r="37" spans="2:26" x14ac:dyDescent="0.15">
      <c r="B37">
        <v>5000</v>
      </c>
      <c r="C37">
        <v>1.4059999999999999</v>
      </c>
      <c r="D37">
        <f t="shared" si="12"/>
        <v>0.15885661192799999</v>
      </c>
      <c r="E37">
        <v>1.859</v>
      </c>
      <c r="F37">
        <f t="shared" si="13"/>
        <v>0.21003872089200001</v>
      </c>
      <c r="L37">
        <v>33.333333333333336</v>
      </c>
      <c r="M37">
        <f t="shared" ref="M37:M55" si="14">0.0374*L37^2-0.1385*L37</f>
        <v>36.938888888888897</v>
      </c>
      <c r="N37">
        <f t="shared" ref="N37:N55" si="15">0.3428*L37^2-2.6737*L37</f>
        <v>291.76555555555564</v>
      </c>
      <c r="O37">
        <f t="shared" ref="O37:O55" si="16">0.0374*L37^2</f>
        <v>41.555555555555564</v>
      </c>
      <c r="P37">
        <f t="shared" ref="P37:P55" si="17">0.3428*L37^2</f>
        <v>380.88888888888897</v>
      </c>
    </row>
    <row r="38" spans="2:26" x14ac:dyDescent="0.15">
      <c r="B38">
        <v>6000</v>
      </c>
      <c r="C38">
        <v>1.9830000000000001</v>
      </c>
      <c r="D38">
        <f t="shared" si="12"/>
        <v>0.22404883460400002</v>
      </c>
      <c r="E38">
        <v>2.6880000000000002</v>
      </c>
      <c r="F38">
        <f t="shared" si="13"/>
        <v>0.30370311014400003</v>
      </c>
      <c r="L38">
        <v>50</v>
      </c>
      <c r="M38">
        <f t="shared" si="14"/>
        <v>86.575000000000003</v>
      </c>
      <c r="N38">
        <f t="shared" si="15"/>
        <v>723.31500000000005</v>
      </c>
      <c r="O38">
        <f t="shared" si="16"/>
        <v>93.5</v>
      </c>
      <c r="P38">
        <f t="shared" si="17"/>
        <v>857</v>
      </c>
    </row>
    <row r="39" spans="2:26" x14ac:dyDescent="0.15">
      <c r="B39">
        <v>7000</v>
      </c>
      <c r="C39">
        <v>2.6560000000000001</v>
      </c>
      <c r="D39">
        <f t="shared" si="12"/>
        <v>0.30008759692800002</v>
      </c>
      <c r="E39">
        <v>3.7789999999999999</v>
      </c>
      <c r="F39">
        <f t="shared" si="13"/>
        <v>0.42696951385199999</v>
      </c>
      <c r="I39">
        <v>1200</v>
      </c>
      <c r="J39">
        <v>3850</v>
      </c>
      <c r="L39">
        <v>66.666666666666671</v>
      </c>
      <c r="M39">
        <f t="shared" si="14"/>
        <v>156.98888888888894</v>
      </c>
      <c r="N39">
        <f t="shared" si="15"/>
        <v>1345.3088888888892</v>
      </c>
      <c r="O39">
        <f t="shared" si="16"/>
        <v>166.22222222222226</v>
      </c>
      <c r="P39">
        <f t="shared" si="17"/>
        <v>1523.5555555555559</v>
      </c>
    </row>
    <row r="40" spans="2:26" x14ac:dyDescent="0.15">
      <c r="B40">
        <v>8000</v>
      </c>
      <c r="E40">
        <v>5.0860000000000003</v>
      </c>
      <c r="F40">
        <f t="shared" si="13"/>
        <v>0.57464063176800007</v>
      </c>
      <c r="I40">
        <v>1250</v>
      </c>
      <c r="J40">
        <v>5580</v>
      </c>
      <c r="L40">
        <v>83.333333333333329</v>
      </c>
      <c r="M40">
        <f t="shared" si="14"/>
        <v>248.18055555555557</v>
      </c>
      <c r="N40">
        <f t="shared" si="15"/>
        <v>2157.7472222222218</v>
      </c>
      <c r="O40">
        <f t="shared" si="16"/>
        <v>259.72222222222223</v>
      </c>
      <c r="P40">
        <f t="shared" si="17"/>
        <v>2380.5555555555552</v>
      </c>
    </row>
    <row r="41" spans="2:26" x14ac:dyDescent="0.15">
      <c r="B41">
        <v>9000</v>
      </c>
      <c r="E41">
        <v>6.6219999999999999</v>
      </c>
      <c r="F41">
        <f t="shared" si="13"/>
        <v>0.748185266136</v>
      </c>
      <c r="I41">
        <v>1300</v>
      </c>
      <c r="J41">
        <v>7330</v>
      </c>
      <c r="L41">
        <v>100</v>
      </c>
      <c r="M41">
        <f t="shared" si="14"/>
        <v>360.15</v>
      </c>
      <c r="N41">
        <f t="shared" si="15"/>
        <v>3160.63</v>
      </c>
      <c r="O41">
        <f t="shared" si="16"/>
        <v>374</v>
      </c>
      <c r="P41">
        <f t="shared" si="17"/>
        <v>3428</v>
      </c>
    </row>
    <row r="42" spans="2:26" x14ac:dyDescent="0.15">
      <c r="B42">
        <v>10000</v>
      </c>
      <c r="E42">
        <v>8.4120000000000008</v>
      </c>
      <c r="F42">
        <f t="shared" si="13"/>
        <v>0.95042803665600006</v>
      </c>
      <c r="I42">
        <v>1350</v>
      </c>
      <c r="J42">
        <v>9090</v>
      </c>
      <c r="L42">
        <v>116.66666666666667</v>
      </c>
      <c r="M42">
        <f t="shared" si="14"/>
        <v>492.89722222222224</v>
      </c>
      <c r="N42">
        <f t="shared" si="15"/>
        <v>4353.9572222222223</v>
      </c>
      <c r="O42">
        <f t="shared" si="16"/>
        <v>509.0555555555556</v>
      </c>
      <c r="P42">
        <f t="shared" si="17"/>
        <v>4665.8888888888887</v>
      </c>
    </row>
    <row r="43" spans="2:26" x14ac:dyDescent="0.15">
      <c r="I43">
        <v>1400</v>
      </c>
      <c r="J43">
        <v>10700</v>
      </c>
      <c r="L43">
        <v>133.33333333333334</v>
      </c>
      <c r="M43">
        <f t="shared" si="14"/>
        <v>646.42222222222233</v>
      </c>
      <c r="N43">
        <f t="shared" si="15"/>
        <v>5737.7288888888897</v>
      </c>
      <c r="O43">
        <f t="shared" si="16"/>
        <v>664.88888888888903</v>
      </c>
      <c r="P43">
        <f t="shared" si="17"/>
        <v>6094.2222222222235</v>
      </c>
    </row>
    <row r="44" spans="2:26" x14ac:dyDescent="0.15">
      <c r="I44">
        <v>1450</v>
      </c>
      <c r="J44">
        <v>12150</v>
      </c>
      <c r="L44">
        <v>150</v>
      </c>
      <c r="M44">
        <f t="shared" si="14"/>
        <v>820.72500000000014</v>
      </c>
      <c r="N44">
        <f t="shared" si="15"/>
        <v>7311.9449999999997</v>
      </c>
      <c r="O44">
        <f t="shared" si="16"/>
        <v>841.50000000000011</v>
      </c>
      <c r="P44">
        <f t="shared" si="17"/>
        <v>7713</v>
      </c>
    </row>
    <row r="45" spans="2:26" x14ac:dyDescent="0.15">
      <c r="I45">
        <v>1500</v>
      </c>
      <c r="J45">
        <v>13550</v>
      </c>
      <c r="L45">
        <v>166.66666666666666</v>
      </c>
      <c r="M45">
        <f t="shared" si="14"/>
        <v>1015.8055555555555</v>
      </c>
      <c r="N45">
        <f t="shared" si="15"/>
        <v>9076.605555555554</v>
      </c>
      <c r="O45">
        <f t="shared" si="16"/>
        <v>1038.8888888888889</v>
      </c>
      <c r="P45">
        <f t="shared" si="17"/>
        <v>9522.2222222222208</v>
      </c>
    </row>
    <row r="46" spans="2:26" x14ac:dyDescent="0.15">
      <c r="L46">
        <v>183.33333333333334</v>
      </c>
      <c r="M46">
        <f t="shared" si="14"/>
        <v>1231.6638888888892</v>
      </c>
      <c r="N46">
        <f t="shared" si="15"/>
        <v>11031.710555555557</v>
      </c>
      <c r="O46">
        <f t="shared" si="16"/>
        <v>1257.0555555555559</v>
      </c>
      <c r="P46">
        <f t="shared" si="17"/>
        <v>11521.888888888891</v>
      </c>
    </row>
    <row r="47" spans="2:26" x14ac:dyDescent="0.15">
      <c r="L47">
        <v>200</v>
      </c>
      <c r="M47">
        <f t="shared" si="14"/>
        <v>1468.3</v>
      </c>
      <c r="N47">
        <f t="shared" si="15"/>
        <v>13177.26</v>
      </c>
      <c r="O47">
        <f t="shared" si="16"/>
        <v>1496</v>
      </c>
      <c r="P47">
        <f t="shared" si="17"/>
        <v>13712</v>
      </c>
    </row>
    <row r="48" spans="2:26" x14ac:dyDescent="0.15">
      <c r="L48">
        <v>216.66666666666666</v>
      </c>
      <c r="M48">
        <f t="shared" si="14"/>
        <v>1725.7138888888887</v>
      </c>
      <c r="N48">
        <f t="shared" si="15"/>
        <v>15513.253888888887</v>
      </c>
      <c r="O48">
        <f t="shared" si="16"/>
        <v>1755.7222222222222</v>
      </c>
      <c r="P48">
        <f t="shared" si="17"/>
        <v>16092.555555555553</v>
      </c>
    </row>
    <row r="49" spans="12:16" x14ac:dyDescent="0.15">
      <c r="L49">
        <v>233.33333333333334</v>
      </c>
      <c r="M49">
        <f t="shared" si="14"/>
        <v>2003.9055555555558</v>
      </c>
      <c r="N49">
        <f t="shared" si="15"/>
        <v>18039.69222222222</v>
      </c>
      <c r="O49">
        <f t="shared" si="16"/>
        <v>2036.2222222222224</v>
      </c>
      <c r="P49">
        <f t="shared" si="17"/>
        <v>18663.555555555555</v>
      </c>
    </row>
    <row r="50" spans="12:16" x14ac:dyDescent="0.15">
      <c r="L50">
        <v>250</v>
      </c>
      <c r="M50">
        <f t="shared" si="14"/>
        <v>2302.875</v>
      </c>
      <c r="N50">
        <f t="shared" si="15"/>
        <v>20756.575000000001</v>
      </c>
      <c r="O50">
        <f t="shared" si="16"/>
        <v>2337.5</v>
      </c>
      <c r="P50">
        <f t="shared" si="17"/>
        <v>21425</v>
      </c>
    </row>
    <row r="51" spans="12:16" x14ac:dyDescent="0.15">
      <c r="L51">
        <v>266.66666666666669</v>
      </c>
      <c r="M51">
        <f t="shared" si="14"/>
        <v>2622.6222222222227</v>
      </c>
      <c r="N51">
        <f t="shared" si="15"/>
        <v>23663.902222222227</v>
      </c>
      <c r="O51">
        <f t="shared" si="16"/>
        <v>2659.5555555555561</v>
      </c>
      <c r="P51">
        <f t="shared" si="17"/>
        <v>24376.888888888894</v>
      </c>
    </row>
    <row r="52" spans="12:16" x14ac:dyDescent="0.15">
      <c r="L52">
        <v>283.33333333333331</v>
      </c>
      <c r="M52">
        <f t="shared" si="14"/>
        <v>2963.1472222222219</v>
      </c>
      <c r="N52">
        <f t="shared" si="15"/>
        <v>26761.673888888887</v>
      </c>
      <c r="O52">
        <f t="shared" si="16"/>
        <v>3002.3888888888887</v>
      </c>
      <c r="P52">
        <f t="shared" si="17"/>
        <v>27519.222222222219</v>
      </c>
    </row>
    <row r="53" spans="12:16" x14ac:dyDescent="0.15">
      <c r="L53">
        <v>300</v>
      </c>
      <c r="M53">
        <f t="shared" si="14"/>
        <v>3324.4500000000003</v>
      </c>
      <c r="N53">
        <f t="shared" si="15"/>
        <v>30049.89</v>
      </c>
      <c r="O53">
        <f t="shared" si="16"/>
        <v>3366.0000000000005</v>
      </c>
      <c r="P53">
        <f t="shared" si="17"/>
        <v>30852</v>
      </c>
    </row>
    <row r="54" spans="12:16" x14ac:dyDescent="0.15">
      <c r="L54">
        <v>316.66666666666669</v>
      </c>
      <c r="M54">
        <f t="shared" si="14"/>
        <v>3706.5305555555565</v>
      </c>
      <c r="N54">
        <f t="shared" si="15"/>
        <v>33528.550555555557</v>
      </c>
      <c r="O54">
        <f t="shared" si="16"/>
        <v>3750.3888888888896</v>
      </c>
      <c r="P54">
        <f t="shared" si="17"/>
        <v>34375.222222222226</v>
      </c>
    </row>
    <row r="55" spans="12:16" x14ac:dyDescent="0.15">
      <c r="L55">
        <v>333.33333333333331</v>
      </c>
      <c r="M55">
        <f t="shared" si="14"/>
        <v>4109.3888888888887</v>
      </c>
      <c r="N55">
        <f t="shared" si="15"/>
        <v>37197.655555555553</v>
      </c>
      <c r="O55">
        <f t="shared" si="16"/>
        <v>4155.5555555555557</v>
      </c>
      <c r="P55">
        <f t="shared" si="17"/>
        <v>38088.888888888883</v>
      </c>
    </row>
  </sheetData>
  <mergeCells count="6">
    <mergeCell ref="U12:X12"/>
    <mergeCell ref="E12:F12"/>
    <mergeCell ref="C12:D12"/>
    <mergeCell ref="C31:D31"/>
    <mergeCell ref="E31:F31"/>
    <mergeCell ref="M12:P12"/>
  </mergeCells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3"/>
  <sheetViews>
    <sheetView workbookViewId="0">
      <selection activeCell="D29" sqref="D29"/>
    </sheetView>
  </sheetViews>
  <sheetFormatPr defaultRowHeight="13.5" x14ac:dyDescent="0.15"/>
  <cols>
    <col min="2" max="2" width="2.875" bestFit="1" customWidth="1"/>
    <col min="3" max="3" width="19.625" customWidth="1"/>
    <col min="4" max="4" width="9" customWidth="1"/>
    <col min="5" max="5" width="18.25" customWidth="1"/>
    <col min="6" max="6" width="6.875" customWidth="1"/>
    <col min="7" max="7" width="12.875" customWidth="1"/>
    <col min="8" max="8" width="10.875" customWidth="1"/>
    <col min="9" max="9" width="7.75" customWidth="1"/>
    <col min="10" max="10" width="7.5" customWidth="1"/>
  </cols>
  <sheetData>
    <row r="2" spans="2:11" x14ac:dyDescent="0.15">
      <c r="C2" t="s">
        <v>49</v>
      </c>
      <c r="D2" s="36" t="s">
        <v>50</v>
      </c>
      <c r="E2" s="36"/>
      <c r="F2" t="s">
        <v>95</v>
      </c>
      <c r="G2" t="s">
        <v>99</v>
      </c>
      <c r="H2" t="s">
        <v>96</v>
      </c>
      <c r="I2" t="s">
        <v>97</v>
      </c>
      <c r="J2" t="s">
        <v>98</v>
      </c>
      <c r="K2" t="s">
        <v>38</v>
      </c>
    </row>
    <row r="3" spans="2:11" x14ac:dyDescent="0.15">
      <c r="C3" t="s">
        <v>43</v>
      </c>
      <c r="D3" s="36" t="s">
        <v>64</v>
      </c>
      <c r="E3" s="36"/>
      <c r="I3">
        <f>H3*PI()/30*G3</f>
        <v>0</v>
      </c>
      <c r="J3" t="e">
        <f>I3/($D$32*F3)*100</f>
        <v>#DIV/0!</v>
      </c>
      <c r="K3">
        <f>G3*1000</f>
        <v>0</v>
      </c>
    </row>
    <row r="4" spans="2:11" x14ac:dyDescent="0.15">
      <c r="C4" t="s">
        <v>75</v>
      </c>
      <c r="D4" s="10" t="s">
        <v>74</v>
      </c>
      <c r="F4">
        <f>D16</f>
        <v>0.75</v>
      </c>
      <c r="G4">
        <f>F4*$D$29-$D$30</f>
        <v>0</v>
      </c>
      <c r="H4">
        <f>D33</f>
        <v>6190.8</v>
      </c>
      <c r="I4">
        <f>H4*PI()/30*G4</f>
        <v>0</v>
      </c>
      <c r="J4">
        <f t="shared" ref="J4:J26" si="0">I4/($D$32*F4)*100</f>
        <v>0</v>
      </c>
      <c r="K4">
        <f t="shared" ref="K4:K26" si="1">G4*1000</f>
        <v>0</v>
      </c>
    </row>
    <row r="5" spans="2:11" ht="13.5" customHeight="1" thickBot="1" x14ac:dyDescent="0.2">
      <c r="F5">
        <f t="shared" ref="F5:F28" si="2">F4+$D$16</f>
        <v>1.5</v>
      </c>
      <c r="G5">
        <f>F5*$D$29-$D$30</f>
        <v>7.7510524233065925E-3</v>
      </c>
      <c r="H5">
        <f t="shared" ref="H5:H26" si="3">H4-$D$27*(G5-G4)</f>
        <v>6129.1230000000005</v>
      </c>
      <c r="I5">
        <f>H5*PI()/30*G5</f>
        <v>4.9749375000000011</v>
      </c>
      <c r="J5">
        <f>I5/($D$32*F5)*100</f>
        <v>49.501865671641795</v>
      </c>
      <c r="K5">
        <f t="shared" si="1"/>
        <v>7.7510524233065929</v>
      </c>
    </row>
    <row r="6" spans="2:11" x14ac:dyDescent="0.15">
      <c r="B6" s="37" t="s">
        <v>52</v>
      </c>
      <c r="C6" s="12" t="s">
        <v>44</v>
      </c>
      <c r="D6" s="2">
        <v>28</v>
      </c>
      <c r="E6" s="3" t="s">
        <v>48</v>
      </c>
      <c r="F6">
        <f t="shared" si="2"/>
        <v>2.25</v>
      </c>
      <c r="G6">
        <f t="shared" ref="G6:G26" si="4">F6*$D$29-$D$30</f>
        <v>1.5502104846613185E-2</v>
      </c>
      <c r="H6">
        <f t="shared" si="3"/>
        <v>6067.4460000000008</v>
      </c>
      <c r="I6">
        <f t="shared" ref="I6:I26" si="5">H6*PI()/30*G6</f>
        <v>9.849750000000002</v>
      </c>
      <c r="J6">
        <f t="shared" si="0"/>
        <v>65.338308457711449</v>
      </c>
      <c r="K6">
        <f t="shared" si="1"/>
        <v>15.502104846613186</v>
      </c>
    </row>
    <row r="7" spans="2:11" x14ac:dyDescent="0.15">
      <c r="B7" s="38"/>
      <c r="C7" s="13" t="s">
        <v>47</v>
      </c>
      <c r="D7" s="4">
        <v>34</v>
      </c>
      <c r="E7" s="5" t="s">
        <v>48</v>
      </c>
      <c r="F7">
        <f t="shared" si="2"/>
        <v>3</v>
      </c>
      <c r="G7">
        <f t="shared" si="4"/>
        <v>2.3253157269919777E-2</v>
      </c>
      <c r="H7">
        <f t="shared" si="3"/>
        <v>6005.7690000000011</v>
      </c>
      <c r="I7">
        <f t="shared" si="5"/>
        <v>14.624437500000006</v>
      </c>
      <c r="J7">
        <f t="shared" si="0"/>
        <v>72.758395522388085</v>
      </c>
      <c r="K7">
        <f t="shared" si="1"/>
        <v>23.253157269919779</v>
      </c>
    </row>
    <row r="8" spans="2:11" x14ac:dyDescent="0.15">
      <c r="B8" s="38"/>
      <c r="C8" s="13" t="s">
        <v>45</v>
      </c>
      <c r="D8" s="4">
        <v>3</v>
      </c>
      <c r="E8" s="5" t="s">
        <v>48</v>
      </c>
      <c r="F8">
        <f t="shared" si="2"/>
        <v>3.75</v>
      </c>
      <c r="G8">
        <f t="shared" si="4"/>
        <v>3.100420969322637E-2</v>
      </c>
      <c r="H8">
        <f t="shared" si="3"/>
        <v>5944.0920000000015</v>
      </c>
      <c r="I8">
        <f t="shared" si="5"/>
        <v>19.29900000000001</v>
      </c>
      <c r="J8">
        <f t="shared" si="0"/>
        <v>76.811940298507508</v>
      </c>
      <c r="K8">
        <f t="shared" si="1"/>
        <v>31.004209693226372</v>
      </c>
    </row>
    <row r="9" spans="2:11" x14ac:dyDescent="0.15">
      <c r="B9" s="38"/>
      <c r="C9" s="13" t="s">
        <v>73</v>
      </c>
      <c r="D9" s="9">
        <v>12</v>
      </c>
      <c r="E9" s="15" t="s">
        <v>48</v>
      </c>
      <c r="F9">
        <f t="shared" si="2"/>
        <v>4.5</v>
      </c>
      <c r="G9">
        <f t="shared" si="4"/>
        <v>3.8755262116532962E-2</v>
      </c>
      <c r="H9">
        <f t="shared" si="3"/>
        <v>5882.4150000000018</v>
      </c>
      <c r="I9">
        <f t="shared" si="5"/>
        <v>23.873437500000009</v>
      </c>
      <c r="J9">
        <f t="shared" si="0"/>
        <v>79.182213930348283</v>
      </c>
      <c r="K9">
        <f t="shared" si="1"/>
        <v>38.755262116532961</v>
      </c>
    </row>
    <row r="10" spans="2:11" ht="14.25" thickBot="1" x14ac:dyDescent="0.2">
      <c r="B10" s="39"/>
      <c r="C10" s="14" t="s">
        <v>46</v>
      </c>
      <c r="D10" s="6">
        <v>55</v>
      </c>
      <c r="E10" s="7" t="s">
        <v>51</v>
      </c>
      <c r="F10">
        <f t="shared" si="2"/>
        <v>5.25</v>
      </c>
      <c r="G10">
        <f t="shared" si="4"/>
        <v>4.6506314539839555E-2</v>
      </c>
      <c r="H10">
        <f t="shared" si="3"/>
        <v>5820.7380000000021</v>
      </c>
      <c r="I10">
        <f t="shared" si="5"/>
        <v>28.347750000000016</v>
      </c>
      <c r="J10">
        <f t="shared" si="0"/>
        <v>80.590618336887033</v>
      </c>
      <c r="K10">
        <f t="shared" si="1"/>
        <v>46.506314539839558</v>
      </c>
    </row>
    <row r="11" spans="2:11" ht="13.5" customHeight="1" thickBot="1" x14ac:dyDescent="0.2">
      <c r="F11">
        <f t="shared" si="2"/>
        <v>6</v>
      </c>
      <c r="G11">
        <f t="shared" si="4"/>
        <v>5.4257366963146147E-2</v>
      </c>
      <c r="H11">
        <f t="shared" si="3"/>
        <v>5759.0610000000024</v>
      </c>
      <c r="I11">
        <f t="shared" si="5"/>
        <v>32.721937500000017</v>
      </c>
      <c r="J11">
        <f t="shared" si="0"/>
        <v>81.397854477611972</v>
      </c>
      <c r="K11">
        <f t="shared" si="1"/>
        <v>54.257366963146147</v>
      </c>
    </row>
    <row r="12" spans="2:11" x14ac:dyDescent="0.15">
      <c r="B12" s="37" t="s">
        <v>60</v>
      </c>
      <c r="C12" s="12" t="s">
        <v>72</v>
      </c>
      <c r="D12" s="23">
        <v>924</v>
      </c>
      <c r="E12" s="3" t="s">
        <v>54</v>
      </c>
      <c r="F12">
        <f t="shared" si="2"/>
        <v>6.75</v>
      </c>
      <c r="G12">
        <f t="shared" si="4"/>
        <v>6.200841938645274E-2</v>
      </c>
      <c r="H12">
        <f t="shared" si="3"/>
        <v>5697.3840000000027</v>
      </c>
      <c r="I12">
        <f t="shared" si="5"/>
        <v>36.996000000000024</v>
      </c>
      <c r="J12">
        <f t="shared" si="0"/>
        <v>81.804311774461084</v>
      </c>
      <c r="K12">
        <f t="shared" si="1"/>
        <v>62.008419386452744</v>
      </c>
    </row>
    <row r="13" spans="2:11" x14ac:dyDescent="0.15">
      <c r="B13" s="38"/>
      <c r="C13" s="13" t="s">
        <v>53</v>
      </c>
      <c r="D13" s="4">
        <v>200</v>
      </c>
      <c r="E13" s="5" t="s">
        <v>71</v>
      </c>
      <c r="F13">
        <f t="shared" si="2"/>
        <v>7.5</v>
      </c>
      <c r="G13">
        <f t="shared" si="4"/>
        <v>6.9759471809759332E-2</v>
      </c>
      <c r="H13">
        <f t="shared" si="3"/>
        <v>5635.7070000000031</v>
      </c>
      <c r="I13">
        <f t="shared" si="5"/>
        <v>41.169937500000032</v>
      </c>
      <c r="J13">
        <f t="shared" si="0"/>
        <v>81.930223880597069</v>
      </c>
      <c r="K13">
        <f t="shared" si="1"/>
        <v>69.759471809759333</v>
      </c>
    </row>
    <row r="14" spans="2:11" x14ac:dyDescent="0.15">
      <c r="B14" s="38"/>
      <c r="C14" s="13" t="s">
        <v>80</v>
      </c>
      <c r="D14" s="4">
        <v>19</v>
      </c>
      <c r="E14" s="5" t="s">
        <v>141</v>
      </c>
      <c r="F14">
        <f t="shared" si="2"/>
        <v>8.25</v>
      </c>
      <c r="G14">
        <f t="shared" si="4"/>
        <v>7.7510524233065925E-2</v>
      </c>
      <c r="H14">
        <f t="shared" si="3"/>
        <v>5574.0300000000034</v>
      </c>
      <c r="I14">
        <f t="shared" si="5"/>
        <v>45.243750000000034</v>
      </c>
      <c r="J14">
        <f t="shared" si="0"/>
        <v>81.852103120759907</v>
      </c>
      <c r="K14">
        <f t="shared" si="1"/>
        <v>77.510524233065922</v>
      </c>
    </row>
    <row r="15" spans="2:11" x14ac:dyDescent="0.15">
      <c r="B15" s="38"/>
      <c r="C15" s="13" t="s">
        <v>55</v>
      </c>
      <c r="D15" s="4">
        <v>85</v>
      </c>
      <c r="E15" s="5" t="s">
        <v>77</v>
      </c>
      <c r="F15">
        <f t="shared" si="2"/>
        <v>9</v>
      </c>
      <c r="G15">
        <f t="shared" si="4"/>
        <v>8.5261576656372517E-2</v>
      </c>
      <c r="H15">
        <f t="shared" si="3"/>
        <v>5512.3530000000037</v>
      </c>
      <c r="I15">
        <f t="shared" si="5"/>
        <v>49.217437500000038</v>
      </c>
      <c r="J15">
        <f t="shared" si="0"/>
        <v>81.620957711442841</v>
      </c>
      <c r="K15">
        <f t="shared" si="1"/>
        <v>85.261576656372512</v>
      </c>
    </row>
    <row r="16" spans="2:11" x14ac:dyDescent="0.15">
      <c r="B16" s="38"/>
      <c r="C16" s="13" t="s">
        <v>56</v>
      </c>
      <c r="D16" s="24">
        <v>0.75</v>
      </c>
      <c r="E16" s="5" t="s">
        <v>65</v>
      </c>
      <c r="F16">
        <f t="shared" si="2"/>
        <v>9.75</v>
      </c>
      <c r="G16">
        <f t="shared" si="4"/>
        <v>9.301262907967911E-2</v>
      </c>
      <c r="H16">
        <f t="shared" si="3"/>
        <v>5450.676000000004</v>
      </c>
      <c r="I16">
        <f t="shared" si="5"/>
        <v>53.091000000000051</v>
      </c>
      <c r="J16">
        <f t="shared" si="0"/>
        <v>81.272101033295144</v>
      </c>
      <c r="K16">
        <f t="shared" si="1"/>
        <v>93.012629079679115</v>
      </c>
    </row>
    <row r="17" spans="1:11" x14ac:dyDescent="0.15">
      <c r="B17" s="38"/>
      <c r="C17" s="13" t="s">
        <v>57</v>
      </c>
      <c r="D17" s="24">
        <v>8.8999999999999996E-2</v>
      </c>
      <c r="E17" s="5" t="s">
        <v>21</v>
      </c>
      <c r="F17">
        <f t="shared" si="2"/>
        <v>10.5</v>
      </c>
      <c r="G17">
        <f>F17*$D$29-$D$30</f>
        <v>0.1007636815029857</v>
      </c>
      <c r="H17">
        <f>H16-$D$27*(G17-G16)</f>
        <v>5388.9990000000043</v>
      </c>
      <c r="I17">
        <f t="shared" si="5"/>
        <v>56.864437500000058</v>
      </c>
      <c r="J17">
        <f>I17/($D$32*F17)*100</f>
        <v>80.830756929637602</v>
      </c>
      <c r="K17">
        <f t="shared" si="1"/>
        <v>100.7636815029857</v>
      </c>
    </row>
    <row r="18" spans="1:11" x14ac:dyDescent="0.15">
      <c r="B18" s="38"/>
      <c r="C18" s="13" t="s">
        <v>58</v>
      </c>
      <c r="D18" s="4">
        <v>14</v>
      </c>
      <c r="E18" s="5"/>
      <c r="F18">
        <f t="shared" si="2"/>
        <v>11.25</v>
      </c>
      <c r="G18">
        <f t="shared" si="4"/>
        <v>0.10851473392629229</v>
      </c>
      <c r="H18">
        <f t="shared" si="3"/>
        <v>5327.3220000000047</v>
      </c>
      <c r="I18">
        <f>H18*PI()/30*G18</f>
        <v>60.537750000000074</v>
      </c>
      <c r="J18">
        <f t="shared" si="0"/>
        <v>80.315422885572247</v>
      </c>
      <c r="K18">
        <f t="shared" si="1"/>
        <v>108.51473392629229</v>
      </c>
    </row>
    <row r="19" spans="1:11" x14ac:dyDescent="0.15">
      <c r="B19" s="38"/>
      <c r="C19" s="13" t="s">
        <v>66</v>
      </c>
      <c r="D19" s="9">
        <v>22</v>
      </c>
      <c r="E19" s="5"/>
      <c r="F19">
        <f t="shared" si="2"/>
        <v>12</v>
      </c>
      <c r="G19">
        <f t="shared" si="4"/>
        <v>0.11626578634959889</v>
      </c>
      <c r="H19">
        <f t="shared" si="3"/>
        <v>5265.645000000005</v>
      </c>
      <c r="I19">
        <f t="shared" si="5"/>
        <v>64.110937500000063</v>
      </c>
      <c r="J19">
        <f>I19/($D$32*F19)*100</f>
        <v>79.739972014925442</v>
      </c>
      <c r="K19">
        <f t="shared" si="1"/>
        <v>116.26578634959888</v>
      </c>
    </row>
    <row r="20" spans="1:11" x14ac:dyDescent="0.15">
      <c r="B20" s="38"/>
      <c r="C20" s="13" t="s">
        <v>81</v>
      </c>
      <c r="D20" s="4">
        <v>20000</v>
      </c>
      <c r="E20" s="5" t="s">
        <v>70</v>
      </c>
      <c r="F20">
        <f t="shared" si="2"/>
        <v>12.75</v>
      </c>
      <c r="G20">
        <f t="shared" si="4"/>
        <v>0.12401683877290548</v>
      </c>
      <c r="H20">
        <f t="shared" si="3"/>
        <v>5203.9680000000053</v>
      </c>
      <c r="I20">
        <f t="shared" si="5"/>
        <v>67.584000000000088</v>
      </c>
      <c r="J20">
        <f t="shared" si="0"/>
        <v>79.115013169446996</v>
      </c>
      <c r="K20">
        <f t="shared" si="1"/>
        <v>124.01683877290549</v>
      </c>
    </row>
    <row r="21" spans="1:11" x14ac:dyDescent="0.15">
      <c r="B21" s="38"/>
      <c r="C21" s="13" t="s">
        <v>69</v>
      </c>
      <c r="D21" s="4" t="s">
        <v>62</v>
      </c>
      <c r="E21" s="5" t="s">
        <v>61</v>
      </c>
      <c r="F21">
        <f t="shared" si="2"/>
        <v>13.5</v>
      </c>
      <c r="G21">
        <f t="shared" si="4"/>
        <v>0.13176789119621207</v>
      </c>
      <c r="H21">
        <f t="shared" si="3"/>
        <v>5142.2910000000056</v>
      </c>
      <c r="I21">
        <f t="shared" si="5"/>
        <v>70.956937500000095</v>
      </c>
      <c r="J21">
        <f t="shared" si="0"/>
        <v>78.448797678275398</v>
      </c>
      <c r="K21">
        <f t="shared" si="1"/>
        <v>131.76789119621208</v>
      </c>
    </row>
    <row r="22" spans="1:11" ht="14.25" thickBot="1" x14ac:dyDescent="0.2">
      <c r="B22" s="39"/>
      <c r="C22" s="14" t="s">
        <v>68</v>
      </c>
      <c r="D22" s="8" t="s">
        <v>67</v>
      </c>
      <c r="E22" s="7" t="s">
        <v>63</v>
      </c>
      <c r="F22">
        <f t="shared" si="2"/>
        <v>14.25</v>
      </c>
      <c r="G22">
        <f t="shared" si="4"/>
        <v>0.13951894361951866</v>
      </c>
      <c r="H22">
        <f t="shared" si="3"/>
        <v>5080.6140000000059</v>
      </c>
      <c r="I22">
        <f t="shared" si="5"/>
        <v>74.229750000000095</v>
      </c>
      <c r="J22">
        <f t="shared" si="0"/>
        <v>77.747839748625395</v>
      </c>
      <c r="K22">
        <f t="shared" si="1"/>
        <v>139.51894361951867</v>
      </c>
    </row>
    <row r="23" spans="1:11" ht="14.25" thickBot="1" x14ac:dyDescent="0.2">
      <c r="F23">
        <f t="shared" si="2"/>
        <v>15</v>
      </c>
      <c r="G23">
        <f t="shared" si="4"/>
        <v>0.14726999604282526</v>
      </c>
      <c r="H23">
        <f t="shared" si="3"/>
        <v>5018.9370000000063</v>
      </c>
      <c r="I23">
        <f t="shared" si="5"/>
        <v>77.402437500000104</v>
      </c>
      <c r="J23">
        <f t="shared" si="0"/>
        <v>77.017350746268761</v>
      </c>
      <c r="K23">
        <f t="shared" si="1"/>
        <v>147.26999604282526</v>
      </c>
    </row>
    <row r="24" spans="1:11" x14ac:dyDescent="0.15">
      <c r="B24" s="16"/>
      <c r="C24" s="12" t="s">
        <v>84</v>
      </c>
      <c r="D24" s="2">
        <v>8.4</v>
      </c>
      <c r="E24" s="3" t="s">
        <v>15</v>
      </c>
      <c r="F24">
        <f t="shared" si="2"/>
        <v>15.75</v>
      </c>
      <c r="G24">
        <f t="shared" si="4"/>
        <v>0.15502104846613185</v>
      </c>
      <c r="H24">
        <f t="shared" si="3"/>
        <v>4957.2600000000066</v>
      </c>
      <c r="I24">
        <f t="shared" si="5"/>
        <v>80.475000000000122</v>
      </c>
      <c r="J24">
        <f t="shared" si="0"/>
        <v>76.261549395877864</v>
      </c>
      <c r="K24">
        <f t="shared" si="1"/>
        <v>155.02104846613184</v>
      </c>
    </row>
    <row r="25" spans="1:11" x14ac:dyDescent="0.15">
      <c r="B25" s="17"/>
      <c r="C25" s="18" t="s">
        <v>88</v>
      </c>
      <c r="D25" s="4">
        <f>D12*D24</f>
        <v>7761.6</v>
      </c>
      <c r="E25" s="5" t="s">
        <v>59</v>
      </c>
      <c r="F25">
        <f t="shared" si="2"/>
        <v>16.5</v>
      </c>
      <c r="G25">
        <f t="shared" si="4"/>
        <v>0.16277210088943844</v>
      </c>
      <c r="H25">
        <f t="shared" si="3"/>
        <v>4895.5830000000069</v>
      </c>
      <c r="I25">
        <f t="shared" si="5"/>
        <v>83.447437500000134</v>
      </c>
      <c r="J25">
        <f t="shared" si="0"/>
        <v>75.483887381275565</v>
      </c>
      <c r="K25">
        <f t="shared" si="1"/>
        <v>162.77210088943843</v>
      </c>
    </row>
    <row r="26" spans="1:11" x14ac:dyDescent="0.15">
      <c r="B26" s="17"/>
      <c r="C26" s="4"/>
      <c r="D26" s="4">
        <f>D25*(PI()/30)</f>
        <v>812.79285133675126</v>
      </c>
      <c r="E26" s="5" t="s">
        <v>89</v>
      </c>
      <c r="F26">
        <f t="shared" si="2"/>
        <v>17.25</v>
      </c>
      <c r="G26">
        <f t="shared" si="4"/>
        <v>0.17052315331274503</v>
      </c>
      <c r="H26">
        <f t="shared" si="3"/>
        <v>4833.9060000000072</v>
      </c>
      <c r="I26">
        <f t="shared" si="5"/>
        <v>86.319750000000141</v>
      </c>
      <c r="J26">
        <f t="shared" si="0"/>
        <v>74.687216093445926</v>
      </c>
      <c r="K26">
        <f t="shared" si="1"/>
        <v>170.52315331274502</v>
      </c>
    </row>
    <row r="27" spans="1:11" x14ac:dyDescent="0.15">
      <c r="A27" t="s">
        <v>87</v>
      </c>
      <c r="B27" s="17"/>
      <c r="C27" s="18" t="s">
        <v>83</v>
      </c>
      <c r="D27" s="4">
        <f>(PI()/30)*((D17*D25^2)/(D24^2))</f>
        <v>7957.2420145867945</v>
      </c>
      <c r="E27" s="5" t="s">
        <v>37</v>
      </c>
      <c r="F27">
        <f t="shared" si="2"/>
        <v>18</v>
      </c>
      <c r="G27">
        <f t="shared" ref="G27:G29" si="6">F27*$D$29-$D$30</f>
        <v>0.17827420573605163</v>
      </c>
      <c r="H27">
        <f t="shared" ref="H27:H29" si="7">H26-$D$27*(G27-G26)</f>
        <v>4772.2290000000075</v>
      </c>
      <c r="I27">
        <f t="shared" ref="I27:I29" si="8">H27*PI()/30*G27</f>
        <v>89.091937500000157</v>
      </c>
      <c r="J27">
        <f t="shared" ref="J27:J29" si="9">I27/($D$32*F27)*100</f>
        <v>73.873911691542418</v>
      </c>
      <c r="K27">
        <f t="shared" ref="K27:K29" si="10">G27*1000</f>
        <v>178.27420573605164</v>
      </c>
    </row>
    <row r="28" spans="1:11" x14ac:dyDescent="0.15">
      <c r="B28" s="17"/>
      <c r="C28" s="18" t="s">
        <v>90</v>
      </c>
      <c r="D28" s="4">
        <f>D24/D26</f>
        <v>1.0334736564408789E-2</v>
      </c>
      <c r="E28" s="5" t="s">
        <v>93</v>
      </c>
      <c r="F28">
        <f t="shared" si="2"/>
        <v>18.75</v>
      </c>
      <c r="G28">
        <f t="shared" si="6"/>
        <v>0.18602525815935822</v>
      </c>
      <c r="H28">
        <f t="shared" si="7"/>
        <v>4710.5520000000079</v>
      </c>
      <c r="I28">
        <f t="shared" si="8"/>
        <v>91.764000000000166</v>
      </c>
      <c r="J28">
        <f t="shared" si="9"/>
        <v>73.045970149253861</v>
      </c>
      <c r="K28">
        <f t="shared" si="10"/>
        <v>186.02525815935823</v>
      </c>
    </row>
    <row r="29" spans="1:11" x14ac:dyDescent="0.15">
      <c r="B29" s="17"/>
      <c r="C29" s="18" t="s">
        <v>91</v>
      </c>
      <c r="D29" s="4">
        <f>D28</f>
        <v>1.0334736564408789E-2</v>
      </c>
      <c r="E29" s="5" t="s">
        <v>24</v>
      </c>
      <c r="F29">
        <v>19</v>
      </c>
      <c r="G29">
        <f t="shared" si="6"/>
        <v>0.18860894230046041</v>
      </c>
      <c r="H29">
        <f t="shared" si="7"/>
        <v>4689.9930000000077</v>
      </c>
      <c r="I29">
        <f t="shared" si="8"/>
        <v>92.632437500000165</v>
      </c>
      <c r="J29">
        <f t="shared" si="9"/>
        <v>72.767036527887001</v>
      </c>
      <c r="K29">
        <f t="shared" si="10"/>
        <v>188.6089423004604</v>
      </c>
    </row>
    <row r="30" spans="1:11" ht="14.25" thickBot="1" x14ac:dyDescent="0.2">
      <c r="B30" s="19"/>
      <c r="C30" s="20" t="s">
        <v>94</v>
      </c>
      <c r="D30" s="6">
        <f>D29*D16</f>
        <v>7.7510524233065925E-3</v>
      </c>
      <c r="E30" s="7" t="s">
        <v>92</v>
      </c>
    </row>
    <row r="31" spans="1:11" ht="14.25" thickBot="1" x14ac:dyDescent="0.2"/>
    <row r="32" spans="1:11" x14ac:dyDescent="0.15">
      <c r="B32" s="16"/>
      <c r="C32" s="21" t="s">
        <v>78</v>
      </c>
      <c r="D32" s="21">
        <f>Graph!M2</f>
        <v>6.7</v>
      </c>
      <c r="E32" s="3" t="s">
        <v>15</v>
      </c>
    </row>
    <row r="33" spans="1:5" x14ac:dyDescent="0.15">
      <c r="B33" s="17"/>
      <c r="C33" s="18" t="s">
        <v>79</v>
      </c>
      <c r="D33" s="4">
        <f>D12*D32</f>
        <v>6190.8</v>
      </c>
      <c r="E33" s="5" t="s">
        <v>59</v>
      </c>
    </row>
    <row r="34" spans="1:5" x14ac:dyDescent="0.15">
      <c r="B34" s="17"/>
      <c r="C34" s="4" t="s">
        <v>82</v>
      </c>
      <c r="D34" s="4">
        <f>D33/D20</f>
        <v>0.30953999999999998</v>
      </c>
      <c r="E34" s="5"/>
    </row>
    <row r="35" spans="1:5" ht="14.25" thickBot="1" x14ac:dyDescent="0.2">
      <c r="A35" t="s">
        <v>86</v>
      </c>
      <c r="B35" s="19"/>
      <c r="C35" s="20" t="s">
        <v>85</v>
      </c>
      <c r="D35" s="6">
        <f>D32/D17</f>
        <v>75.280898876404507</v>
      </c>
      <c r="E35" s="7" t="s">
        <v>20</v>
      </c>
    </row>
    <row r="37" spans="1:5" x14ac:dyDescent="0.15">
      <c r="C37" t="s">
        <v>104</v>
      </c>
      <c r="D37">
        <f>D17/(D29^2)</f>
        <v>833.2804351953971</v>
      </c>
    </row>
    <row r="40" spans="1:5" x14ac:dyDescent="0.15">
      <c r="C40" t="s">
        <v>76</v>
      </c>
      <c r="D40">
        <f>SQRT(D16*D32/D17)</f>
        <v>7.5140318176930405</v>
      </c>
      <c r="E40" t="s">
        <v>20</v>
      </c>
    </row>
    <row r="41" spans="1:5" x14ac:dyDescent="0.15">
      <c r="C41" t="s">
        <v>17</v>
      </c>
      <c r="D41">
        <f>((D40-D16)/D40)^2*100</f>
        <v>81.033616961949832</v>
      </c>
      <c r="E41" t="s">
        <v>22</v>
      </c>
    </row>
    <row r="42" spans="1:5" x14ac:dyDescent="0.15">
      <c r="C42" t="s">
        <v>18</v>
      </c>
      <c r="D42">
        <f>D40</f>
        <v>7.5140318176930405</v>
      </c>
      <c r="E42" t="s">
        <v>20</v>
      </c>
    </row>
    <row r="43" spans="1:5" x14ac:dyDescent="0.15">
      <c r="C43" t="s">
        <v>19</v>
      </c>
      <c r="D43">
        <f>(D42-D16)*(D32-D42*D17)</f>
        <v>40.795574802374382</v>
      </c>
      <c r="E43" t="s">
        <v>23</v>
      </c>
    </row>
  </sheetData>
  <mergeCells count="4">
    <mergeCell ref="D3:E3"/>
    <mergeCell ref="D2:E2"/>
    <mergeCell ref="B6:B10"/>
    <mergeCell ref="B12:B22"/>
  </mergeCells>
  <phoneticPr fontId="1"/>
  <conditionalFormatting sqref="G1:G1048576">
    <cfRule type="cellIs" dxfId="5" priority="1" operator="between">
      <formula>0.125</formula>
      <formula>0.135</formula>
    </cfRule>
  </conditionalFormatting>
  <hyperlinks>
    <hyperlink ref="D4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3"/>
  <sheetViews>
    <sheetView workbookViewId="0">
      <selection activeCell="D36" sqref="D36"/>
    </sheetView>
  </sheetViews>
  <sheetFormatPr defaultRowHeight="13.5" x14ac:dyDescent="0.15"/>
  <cols>
    <col min="2" max="2" width="2.875" bestFit="1" customWidth="1"/>
    <col min="3" max="3" width="19.625" customWidth="1"/>
    <col min="4" max="4" width="9" customWidth="1"/>
    <col min="5" max="5" width="18.25" customWidth="1"/>
    <col min="6" max="6" width="6.875" customWidth="1"/>
    <col min="7" max="7" width="12.875" customWidth="1"/>
    <col min="8" max="8" width="10.875" customWidth="1"/>
    <col min="9" max="9" width="7.75" customWidth="1"/>
    <col min="10" max="10" width="7.5" customWidth="1"/>
  </cols>
  <sheetData>
    <row r="2" spans="2:11" x14ac:dyDescent="0.15">
      <c r="C2" t="s">
        <v>49</v>
      </c>
      <c r="D2" s="36" t="s">
        <v>50</v>
      </c>
      <c r="E2" s="36"/>
      <c r="F2" t="s">
        <v>95</v>
      </c>
      <c r="G2" t="s">
        <v>99</v>
      </c>
      <c r="H2" t="s">
        <v>96</v>
      </c>
      <c r="I2" t="s">
        <v>97</v>
      </c>
      <c r="J2" t="s">
        <v>98</v>
      </c>
      <c r="K2" t="s">
        <v>38</v>
      </c>
    </row>
    <row r="3" spans="2:11" x14ac:dyDescent="0.15">
      <c r="C3" t="s">
        <v>43</v>
      </c>
      <c r="D3" s="36" t="s">
        <v>138</v>
      </c>
      <c r="E3" s="36"/>
      <c r="I3">
        <f>H3*PI()/30*G3</f>
        <v>0</v>
      </c>
      <c r="J3" t="e">
        <f>I3/($D$32*F3)*100</f>
        <v>#DIV/0!</v>
      </c>
      <c r="K3">
        <f>G3*1000</f>
        <v>0</v>
      </c>
    </row>
    <row r="4" spans="2:11" x14ac:dyDescent="0.15">
      <c r="C4" t="s">
        <v>75</v>
      </c>
      <c r="D4" s="10" t="s">
        <v>74</v>
      </c>
      <c r="F4">
        <f>D16</f>
        <v>0.6</v>
      </c>
      <c r="G4">
        <f>F4*$D$29-$D$30</f>
        <v>0</v>
      </c>
      <c r="H4">
        <f>D33</f>
        <v>6566</v>
      </c>
      <c r="I4">
        <f>H4*PI()/30*G4</f>
        <v>0</v>
      </c>
      <c r="J4">
        <f t="shared" ref="J4:J26" si="0">I4/($D$32*F4)*100</f>
        <v>0</v>
      </c>
      <c r="K4">
        <f t="shared" ref="K4:K26" si="1">G4*1000</f>
        <v>0</v>
      </c>
    </row>
    <row r="5" spans="2:11" ht="13.5" customHeight="1" thickBot="1" x14ac:dyDescent="0.2">
      <c r="F5">
        <f t="shared" ref="F5:F27" si="2">F4+$D$16</f>
        <v>1.2</v>
      </c>
      <c r="G5">
        <f>F5*$D$29-$D$30</f>
        <v>5.846508113579829E-3</v>
      </c>
      <c r="H5">
        <f t="shared" ref="H5:H26" si="3">H4-$D$27*(G5-G4)</f>
        <v>6463.6880000000001</v>
      </c>
      <c r="I5">
        <f>H5*PI()/30*G5</f>
        <v>3.95736</v>
      </c>
      <c r="J5">
        <f>I5/($D$32*F5)*100</f>
        <v>49.220895522388062</v>
      </c>
      <c r="K5">
        <f t="shared" si="1"/>
        <v>5.8465081135798291</v>
      </c>
    </row>
    <row r="6" spans="2:11" x14ac:dyDescent="0.15">
      <c r="B6" s="37" t="s">
        <v>52</v>
      </c>
      <c r="C6" s="12" t="s">
        <v>44</v>
      </c>
      <c r="D6" s="2">
        <v>28</v>
      </c>
      <c r="E6" s="3" t="s">
        <v>48</v>
      </c>
      <c r="F6">
        <f t="shared" si="2"/>
        <v>1.7999999999999998</v>
      </c>
      <c r="G6">
        <f t="shared" ref="G6:G26" si="4">F6*$D$29-$D$30</f>
        <v>1.1693016227159656E-2</v>
      </c>
      <c r="H6">
        <f t="shared" si="3"/>
        <v>6361.3760000000002</v>
      </c>
      <c r="I6">
        <f t="shared" ref="I6:I26" si="5">H6*PI()/30*G6</f>
        <v>7.7894399999999999</v>
      </c>
      <c r="J6">
        <f t="shared" si="0"/>
        <v>64.589054726368161</v>
      </c>
      <c r="K6">
        <f t="shared" si="1"/>
        <v>11.693016227159656</v>
      </c>
    </row>
    <row r="7" spans="2:11" x14ac:dyDescent="0.15">
      <c r="B7" s="38"/>
      <c r="C7" s="13" t="s">
        <v>47</v>
      </c>
      <c r="D7" s="4">
        <v>30</v>
      </c>
      <c r="E7" s="5" t="s">
        <v>48</v>
      </c>
      <c r="F7">
        <f t="shared" si="2"/>
        <v>2.4</v>
      </c>
      <c r="G7">
        <f t="shared" si="4"/>
        <v>1.7539524340739486E-2</v>
      </c>
      <c r="H7">
        <f t="shared" si="3"/>
        <v>6259.0640000000003</v>
      </c>
      <c r="I7">
        <f t="shared" si="5"/>
        <v>11.49624</v>
      </c>
      <c r="J7">
        <f t="shared" si="0"/>
        <v>71.494029850746273</v>
      </c>
      <c r="K7">
        <f t="shared" si="1"/>
        <v>17.539524340739487</v>
      </c>
    </row>
    <row r="8" spans="2:11" x14ac:dyDescent="0.15">
      <c r="B8" s="38"/>
      <c r="C8" s="13" t="s">
        <v>45</v>
      </c>
      <c r="D8" s="4">
        <v>3</v>
      </c>
      <c r="E8" s="5" t="s">
        <v>48</v>
      </c>
      <c r="F8">
        <f t="shared" si="2"/>
        <v>3</v>
      </c>
      <c r="G8">
        <f t="shared" si="4"/>
        <v>2.3386032454319316E-2</v>
      </c>
      <c r="H8">
        <f t="shared" si="3"/>
        <v>6156.7520000000004</v>
      </c>
      <c r="I8">
        <f t="shared" si="5"/>
        <v>15.077759999999998</v>
      </c>
      <c r="J8">
        <f t="shared" si="0"/>
        <v>75.013731343283567</v>
      </c>
      <c r="K8">
        <f t="shared" si="1"/>
        <v>23.386032454319317</v>
      </c>
    </row>
    <row r="9" spans="2:11" x14ac:dyDescent="0.15">
      <c r="B9" s="38"/>
      <c r="C9" s="13" t="s">
        <v>73</v>
      </c>
      <c r="D9" s="9">
        <v>12</v>
      </c>
      <c r="E9" s="15" t="s">
        <v>48</v>
      </c>
      <c r="F9">
        <f t="shared" si="2"/>
        <v>3.6</v>
      </c>
      <c r="G9">
        <f t="shared" si="4"/>
        <v>2.9232540567899142E-2</v>
      </c>
      <c r="H9">
        <f t="shared" si="3"/>
        <v>6054.4400000000005</v>
      </c>
      <c r="I9">
        <f t="shared" si="5"/>
        <v>18.533999999999999</v>
      </c>
      <c r="J9">
        <f t="shared" si="0"/>
        <v>76.840796019900495</v>
      </c>
      <c r="K9">
        <f t="shared" si="1"/>
        <v>29.232540567899143</v>
      </c>
    </row>
    <row r="10" spans="2:11" ht="14.25" thickBot="1" x14ac:dyDescent="0.2">
      <c r="B10" s="39"/>
      <c r="C10" s="14" t="s">
        <v>46</v>
      </c>
      <c r="D10" s="6">
        <v>42</v>
      </c>
      <c r="E10" s="7" t="s">
        <v>51</v>
      </c>
      <c r="F10">
        <f t="shared" si="2"/>
        <v>4.2</v>
      </c>
      <c r="G10">
        <f t="shared" si="4"/>
        <v>3.5079048681478979E-2</v>
      </c>
      <c r="H10">
        <f t="shared" si="3"/>
        <v>5952.1280000000006</v>
      </c>
      <c r="I10">
        <f t="shared" si="5"/>
        <v>21.864960000000004</v>
      </c>
      <c r="J10">
        <f t="shared" si="0"/>
        <v>77.70063965884863</v>
      </c>
      <c r="K10">
        <f t="shared" si="1"/>
        <v>35.07904868147898</v>
      </c>
    </row>
    <row r="11" spans="2:11" ht="13.5" customHeight="1" thickBot="1" x14ac:dyDescent="0.2">
      <c r="F11">
        <f t="shared" si="2"/>
        <v>4.8</v>
      </c>
      <c r="G11">
        <f t="shared" si="4"/>
        <v>4.0925556795058805E-2</v>
      </c>
      <c r="H11">
        <f t="shared" si="3"/>
        <v>5849.8160000000007</v>
      </c>
      <c r="I11">
        <f t="shared" si="5"/>
        <v>25.070640000000008</v>
      </c>
      <c r="J11">
        <f t="shared" si="0"/>
        <v>77.955970149253758</v>
      </c>
      <c r="K11">
        <f t="shared" si="1"/>
        <v>40.925556795058803</v>
      </c>
    </row>
    <row r="12" spans="2:11" x14ac:dyDescent="0.15">
      <c r="B12" s="37" t="s">
        <v>60</v>
      </c>
      <c r="C12" s="12" t="s">
        <v>72</v>
      </c>
      <c r="D12" s="23">
        <v>980</v>
      </c>
      <c r="E12" s="3" t="s">
        <v>54</v>
      </c>
      <c r="F12">
        <f t="shared" si="2"/>
        <v>5.3999999999999995</v>
      </c>
      <c r="G12">
        <f t="shared" si="4"/>
        <v>4.6772064908638625E-2</v>
      </c>
      <c r="H12">
        <f t="shared" si="3"/>
        <v>5747.5040000000008</v>
      </c>
      <c r="I12">
        <f t="shared" si="5"/>
        <v>28.151039999999995</v>
      </c>
      <c r="J12">
        <f t="shared" si="0"/>
        <v>77.808291873963498</v>
      </c>
      <c r="K12">
        <f t="shared" si="1"/>
        <v>46.772064908638626</v>
      </c>
    </row>
    <row r="13" spans="2:11" x14ac:dyDescent="0.15">
      <c r="B13" s="38"/>
      <c r="C13" s="13" t="s">
        <v>53</v>
      </c>
      <c r="D13" s="4">
        <v>150</v>
      </c>
      <c r="E13" s="5" t="s">
        <v>71</v>
      </c>
      <c r="F13">
        <f t="shared" si="2"/>
        <v>5.9999999999999991</v>
      </c>
      <c r="G13">
        <f t="shared" si="4"/>
        <v>5.2618573022218451E-2</v>
      </c>
      <c r="H13">
        <f t="shared" si="3"/>
        <v>5645.1920000000009</v>
      </c>
      <c r="I13">
        <f t="shared" si="5"/>
        <v>31.106159999999999</v>
      </c>
      <c r="J13">
        <f t="shared" si="0"/>
        <v>77.378507462686571</v>
      </c>
      <c r="K13">
        <f t="shared" si="1"/>
        <v>52.618573022218449</v>
      </c>
    </row>
    <row r="14" spans="2:11" x14ac:dyDescent="0.15">
      <c r="B14" s="38"/>
      <c r="C14" s="13" t="s">
        <v>80</v>
      </c>
      <c r="D14" s="9">
        <v>15</v>
      </c>
      <c r="E14" s="5" t="s">
        <v>142</v>
      </c>
      <c r="F14">
        <f t="shared" si="2"/>
        <v>6.5999999999999988</v>
      </c>
      <c r="G14">
        <f t="shared" si="4"/>
        <v>5.8465081135798277E-2</v>
      </c>
      <c r="H14">
        <f t="shared" si="3"/>
        <v>5542.880000000001</v>
      </c>
      <c r="I14">
        <f t="shared" si="5"/>
        <v>33.936</v>
      </c>
      <c r="J14">
        <f t="shared" si="0"/>
        <v>76.743554952510195</v>
      </c>
      <c r="K14">
        <f t="shared" si="1"/>
        <v>58.465081135798279</v>
      </c>
    </row>
    <row r="15" spans="2:11" x14ac:dyDescent="0.15">
      <c r="B15" s="38"/>
      <c r="C15" s="13" t="s">
        <v>55</v>
      </c>
      <c r="D15" s="4"/>
      <c r="E15" s="5" t="s">
        <v>139</v>
      </c>
      <c r="F15">
        <f t="shared" si="2"/>
        <v>7.1999999999999984</v>
      </c>
      <c r="G15">
        <f t="shared" si="4"/>
        <v>6.4311589249378104E-2</v>
      </c>
      <c r="H15">
        <f t="shared" si="3"/>
        <v>5440.5680000000011</v>
      </c>
      <c r="I15">
        <f t="shared" si="5"/>
        <v>36.640560000000001</v>
      </c>
      <c r="J15">
        <f t="shared" si="0"/>
        <v>75.954726368159214</v>
      </c>
      <c r="K15">
        <f t="shared" si="1"/>
        <v>64.311589249378102</v>
      </c>
    </row>
    <row r="16" spans="2:11" x14ac:dyDescent="0.15">
      <c r="B16" s="38"/>
      <c r="C16" s="13" t="s">
        <v>56</v>
      </c>
      <c r="D16" s="24">
        <v>0.6</v>
      </c>
      <c r="E16" s="5" t="s">
        <v>65</v>
      </c>
      <c r="F16">
        <f t="shared" si="2"/>
        <v>7.799999999999998</v>
      </c>
      <c r="G16">
        <f t="shared" si="4"/>
        <v>7.015809736295793E-2</v>
      </c>
      <c r="H16">
        <f t="shared" si="3"/>
        <v>5338.2560000000012</v>
      </c>
      <c r="I16">
        <f t="shared" si="5"/>
        <v>39.219840000000005</v>
      </c>
      <c r="J16">
        <f t="shared" si="0"/>
        <v>75.047531572904731</v>
      </c>
      <c r="K16">
        <f t="shared" si="1"/>
        <v>70.158097362957932</v>
      </c>
    </row>
    <row r="17" spans="1:11" x14ac:dyDescent="0.15">
      <c r="B17" s="38"/>
      <c r="C17" s="13" t="s">
        <v>57</v>
      </c>
      <c r="D17" s="24">
        <v>0.17399999999999999</v>
      </c>
      <c r="E17" s="5" t="s">
        <v>21</v>
      </c>
      <c r="F17">
        <f t="shared" si="2"/>
        <v>8.3999999999999986</v>
      </c>
      <c r="G17">
        <f>F17*$D$29-$D$30</f>
        <v>7.6004605476537757E-2</v>
      </c>
      <c r="H17">
        <f>H16-$D$27*(G17-G16)</f>
        <v>5235.9440000000013</v>
      </c>
      <c r="I17">
        <f t="shared" si="5"/>
        <v>41.673839999999998</v>
      </c>
      <c r="J17">
        <f>I17/($D$32*F17)*100</f>
        <v>74.047334754797447</v>
      </c>
      <c r="K17">
        <f t="shared" si="1"/>
        <v>76.004605476537762</v>
      </c>
    </row>
    <row r="18" spans="1:11" x14ac:dyDescent="0.15">
      <c r="B18" s="38"/>
      <c r="C18" s="13" t="s">
        <v>58</v>
      </c>
      <c r="D18" s="4">
        <v>14</v>
      </c>
      <c r="E18" s="5"/>
      <c r="F18">
        <f t="shared" si="2"/>
        <v>8.9999999999999982</v>
      </c>
      <c r="G18">
        <f t="shared" si="4"/>
        <v>8.1851113590117583E-2</v>
      </c>
      <c r="H18">
        <f t="shared" si="3"/>
        <v>5133.6320000000014</v>
      </c>
      <c r="I18">
        <f>H18*PI()/30*G18</f>
        <v>44.002560000000003</v>
      </c>
      <c r="J18">
        <f t="shared" si="0"/>
        <v>72.972736318407968</v>
      </c>
      <c r="K18">
        <f t="shared" si="1"/>
        <v>81.851113590117578</v>
      </c>
    </row>
    <row r="19" spans="1:11" x14ac:dyDescent="0.15">
      <c r="B19" s="38"/>
      <c r="C19" s="13" t="s">
        <v>66</v>
      </c>
      <c r="D19" s="9">
        <v>30</v>
      </c>
      <c r="E19" s="5"/>
      <c r="F19">
        <f t="shared" si="2"/>
        <v>9.5999999999999979</v>
      </c>
      <c r="G19">
        <f t="shared" si="4"/>
        <v>8.7697621703697409E-2</v>
      </c>
      <c r="H19">
        <f t="shared" si="3"/>
        <v>5031.3200000000015</v>
      </c>
      <c r="I19">
        <f t="shared" si="5"/>
        <v>46.205999999999996</v>
      </c>
      <c r="J19">
        <f>I19/($D$32*F19)*100</f>
        <v>71.837686567164184</v>
      </c>
      <c r="K19">
        <f t="shared" si="1"/>
        <v>87.697621703697408</v>
      </c>
    </row>
    <row r="20" spans="1:11" x14ac:dyDescent="0.15">
      <c r="B20" s="38"/>
      <c r="C20" s="13" t="s">
        <v>81</v>
      </c>
      <c r="D20" s="4"/>
      <c r="E20" s="5" t="s">
        <v>140</v>
      </c>
      <c r="F20">
        <f t="shared" si="2"/>
        <v>10.199999999999998</v>
      </c>
      <c r="G20">
        <f t="shared" si="4"/>
        <v>9.3544129817277236E-2</v>
      </c>
      <c r="H20">
        <f t="shared" si="3"/>
        <v>4929.0080000000016</v>
      </c>
      <c r="I20">
        <f t="shared" si="5"/>
        <v>48.284160000000007</v>
      </c>
      <c r="J20">
        <f t="shared" si="0"/>
        <v>70.652853380158049</v>
      </c>
      <c r="K20">
        <f t="shared" si="1"/>
        <v>93.544129817277238</v>
      </c>
    </row>
    <row r="21" spans="1:11" x14ac:dyDescent="0.15">
      <c r="B21" s="38"/>
      <c r="C21" s="13" t="s">
        <v>69</v>
      </c>
      <c r="D21" s="4" t="s">
        <v>62</v>
      </c>
      <c r="E21" s="5" t="s">
        <v>61</v>
      </c>
      <c r="F21">
        <f t="shared" si="2"/>
        <v>10.799999999999997</v>
      </c>
      <c r="G21">
        <f t="shared" si="4"/>
        <v>9.9390637930857062E-2</v>
      </c>
      <c r="H21">
        <f t="shared" si="3"/>
        <v>4826.6960000000017</v>
      </c>
      <c r="I21">
        <f t="shared" si="5"/>
        <v>50.237040000000007</v>
      </c>
      <c r="J21">
        <f t="shared" si="0"/>
        <v>69.426533996683276</v>
      </c>
      <c r="K21">
        <f t="shared" si="1"/>
        <v>99.390637930857068</v>
      </c>
    </row>
    <row r="22" spans="1:11" ht="14.25" thickBot="1" x14ac:dyDescent="0.2">
      <c r="B22" s="39"/>
      <c r="C22" s="14" t="s">
        <v>68</v>
      </c>
      <c r="D22" s="8" t="s">
        <v>67</v>
      </c>
      <c r="E22" s="7" t="s">
        <v>63</v>
      </c>
      <c r="F22">
        <f t="shared" si="2"/>
        <v>11.399999999999997</v>
      </c>
      <c r="G22">
        <f t="shared" si="4"/>
        <v>0.10523714604443689</v>
      </c>
      <c r="H22">
        <f t="shared" si="3"/>
        <v>4724.3840000000018</v>
      </c>
      <c r="I22">
        <f t="shared" si="5"/>
        <v>52.064640000000004</v>
      </c>
      <c r="J22">
        <f t="shared" si="0"/>
        <v>68.165278868813857</v>
      </c>
      <c r="K22">
        <f t="shared" si="1"/>
        <v>105.23714604443688</v>
      </c>
    </row>
    <row r="23" spans="1:11" ht="14.25" thickBot="1" x14ac:dyDescent="0.2">
      <c r="F23">
        <f t="shared" si="2"/>
        <v>11.999999999999996</v>
      </c>
      <c r="G23">
        <f t="shared" si="4"/>
        <v>0.11108365415801671</v>
      </c>
      <c r="H23">
        <f t="shared" si="3"/>
        <v>4622.0720000000019</v>
      </c>
      <c r="I23">
        <f t="shared" si="5"/>
        <v>53.766960000000012</v>
      </c>
      <c r="J23">
        <f t="shared" si="0"/>
        <v>66.874328358208984</v>
      </c>
      <c r="K23">
        <f t="shared" si="1"/>
        <v>111.08365415801671</v>
      </c>
    </row>
    <row r="24" spans="1:11" x14ac:dyDescent="0.15">
      <c r="B24" s="16"/>
      <c r="C24" s="12" t="s">
        <v>84</v>
      </c>
      <c r="D24" s="2">
        <v>8.4</v>
      </c>
      <c r="E24" s="3" t="s">
        <v>15</v>
      </c>
      <c r="F24">
        <f t="shared" si="2"/>
        <v>12.599999999999996</v>
      </c>
      <c r="G24">
        <f t="shared" si="4"/>
        <v>0.11693016227159654</v>
      </c>
      <c r="H24">
        <f t="shared" si="3"/>
        <v>4519.760000000002</v>
      </c>
      <c r="I24">
        <f t="shared" si="5"/>
        <v>55.344000000000008</v>
      </c>
      <c r="J24">
        <f t="shared" si="0"/>
        <v>65.5579246624023</v>
      </c>
      <c r="K24">
        <f t="shared" si="1"/>
        <v>116.93016227159654</v>
      </c>
    </row>
    <row r="25" spans="1:11" x14ac:dyDescent="0.15">
      <c r="B25" s="17"/>
      <c r="C25" s="18" t="s">
        <v>88</v>
      </c>
      <c r="D25" s="4">
        <f>D12*D24</f>
        <v>8232</v>
      </c>
      <c r="E25" s="5" t="s">
        <v>59</v>
      </c>
      <c r="F25">
        <f t="shared" si="2"/>
        <v>13.199999999999996</v>
      </c>
      <c r="G25">
        <f t="shared" si="4"/>
        <v>0.12277667038517635</v>
      </c>
      <c r="H25">
        <f t="shared" si="3"/>
        <v>4417.4480000000021</v>
      </c>
      <c r="I25">
        <f t="shared" si="5"/>
        <v>56.795760000000001</v>
      </c>
      <c r="J25">
        <f t="shared" si="0"/>
        <v>64.219538670284962</v>
      </c>
      <c r="K25">
        <f t="shared" si="1"/>
        <v>122.77667038517636</v>
      </c>
    </row>
    <row r="26" spans="1:11" x14ac:dyDescent="0.15">
      <c r="B26" s="17"/>
      <c r="C26" s="4"/>
      <c r="D26" s="4">
        <f>D25*(PI()/30)</f>
        <v>862.05302414503922</v>
      </c>
      <c r="E26" s="5" t="s">
        <v>89</v>
      </c>
      <c r="F26">
        <f t="shared" si="2"/>
        <v>13.799999999999995</v>
      </c>
      <c r="G26">
        <f t="shared" si="4"/>
        <v>0.12862317849875618</v>
      </c>
      <c r="H26">
        <f t="shared" si="3"/>
        <v>4315.1360000000022</v>
      </c>
      <c r="I26">
        <f t="shared" si="5"/>
        <v>58.122239999999998</v>
      </c>
      <c r="J26">
        <f t="shared" si="0"/>
        <v>62.862037637897494</v>
      </c>
      <c r="K26">
        <f t="shared" si="1"/>
        <v>128.62317849875618</v>
      </c>
    </row>
    <row r="27" spans="1:11" x14ac:dyDescent="0.15">
      <c r="A27" t="s">
        <v>86</v>
      </c>
      <c r="B27" s="17"/>
      <c r="C27" s="18" t="s">
        <v>83</v>
      </c>
      <c r="D27" s="4">
        <f>(PI()/30)*((D17*D25^2)/(D24^2))</f>
        <v>17499.676390144294</v>
      </c>
      <c r="E27" s="5" t="s">
        <v>37</v>
      </c>
      <c r="F27">
        <f t="shared" si="2"/>
        <v>14.399999999999995</v>
      </c>
      <c r="G27">
        <f t="shared" ref="G27:G28" si="6">F27*$D$29-$D$30</f>
        <v>0.13446968661233599</v>
      </c>
      <c r="H27">
        <f t="shared" ref="H27:H28" si="7">H26-$D$27*(G27-G26)</f>
        <v>4212.8240000000023</v>
      </c>
      <c r="I27">
        <f t="shared" ref="I27:I28" si="8">H27*PI()/30*G27</f>
        <v>59.323439999999998</v>
      </c>
      <c r="J27">
        <f t="shared" ref="J27:J28" si="9">I27/($D$32*F27)*100</f>
        <v>61.487810945273644</v>
      </c>
      <c r="K27">
        <f t="shared" ref="K27:K28" si="10">G27*1000</f>
        <v>134.46968661233601</v>
      </c>
    </row>
    <row r="28" spans="1:11" x14ac:dyDescent="0.15">
      <c r="B28" s="17"/>
      <c r="C28" s="18" t="s">
        <v>90</v>
      </c>
      <c r="D28" s="4">
        <f>D24/D26</f>
        <v>9.7441801892997146E-3</v>
      </c>
      <c r="E28" s="5" t="s">
        <v>93</v>
      </c>
      <c r="F28">
        <v>15</v>
      </c>
      <c r="G28">
        <f t="shared" si="6"/>
        <v>0.14031619472591589</v>
      </c>
      <c r="H28">
        <f t="shared" si="7"/>
        <v>4110.5120000000015</v>
      </c>
      <c r="I28">
        <f t="shared" si="8"/>
        <v>60.399360000000023</v>
      </c>
      <c r="J28">
        <f t="shared" si="9"/>
        <v>60.098865671641811</v>
      </c>
      <c r="K28">
        <f t="shared" si="10"/>
        <v>140.31619472591589</v>
      </c>
    </row>
    <row r="29" spans="1:11" x14ac:dyDescent="0.15">
      <c r="B29" s="17"/>
      <c r="C29" s="18" t="s">
        <v>91</v>
      </c>
      <c r="D29" s="4">
        <f>D28</f>
        <v>9.7441801892997146E-3</v>
      </c>
      <c r="E29" s="5" t="s">
        <v>24</v>
      </c>
    </row>
    <row r="30" spans="1:11" ht="14.25" thickBot="1" x14ac:dyDescent="0.2">
      <c r="B30" s="19"/>
      <c r="C30" s="20" t="s">
        <v>94</v>
      </c>
      <c r="D30" s="6">
        <f>D29*D16</f>
        <v>5.846508113579829E-3</v>
      </c>
      <c r="E30" s="7" t="s">
        <v>11</v>
      </c>
    </row>
    <row r="31" spans="1:11" ht="14.25" thickBot="1" x14ac:dyDescent="0.2"/>
    <row r="32" spans="1:11" x14ac:dyDescent="0.15">
      <c r="B32" s="16"/>
      <c r="C32" s="21" t="s">
        <v>78</v>
      </c>
      <c r="D32" s="21">
        <f>Graph!M2</f>
        <v>6.7</v>
      </c>
      <c r="E32" s="3" t="s">
        <v>15</v>
      </c>
    </row>
    <row r="33" spans="1:5" x14ac:dyDescent="0.15">
      <c r="B33" s="17"/>
      <c r="C33" s="18" t="s">
        <v>79</v>
      </c>
      <c r="D33" s="4">
        <f>D12*D32</f>
        <v>6566</v>
      </c>
      <c r="E33" s="5" t="s">
        <v>59</v>
      </c>
    </row>
    <row r="34" spans="1:5" x14ac:dyDescent="0.15">
      <c r="B34" s="17"/>
      <c r="C34" s="4" t="s">
        <v>82</v>
      </c>
      <c r="D34" s="4" t="e">
        <f>D33/D20</f>
        <v>#DIV/0!</v>
      </c>
      <c r="E34" s="5"/>
    </row>
    <row r="35" spans="1:5" ht="14.25" thickBot="1" x14ac:dyDescent="0.2">
      <c r="A35" t="s">
        <v>86</v>
      </c>
      <c r="B35" s="19"/>
      <c r="C35" s="20" t="s">
        <v>85</v>
      </c>
      <c r="D35" s="6">
        <f>D32/D17</f>
        <v>38.505747126436788</v>
      </c>
      <c r="E35" s="7" t="s">
        <v>20</v>
      </c>
    </row>
    <row r="37" spans="1:5" x14ac:dyDescent="0.15">
      <c r="C37" t="s">
        <v>104</v>
      </c>
      <c r="D37">
        <f>D17/(D29^2)</f>
        <v>1832.5618262492023</v>
      </c>
    </row>
    <row r="40" spans="1:5" x14ac:dyDescent="0.15">
      <c r="C40" t="s">
        <v>76</v>
      </c>
      <c r="D40">
        <f>SQRT(D16*D32/D17)</f>
        <v>4.8066046515042267</v>
      </c>
      <c r="E40" t="s">
        <v>20</v>
      </c>
    </row>
    <row r="41" spans="1:5" x14ac:dyDescent="0.15">
      <c r="C41" t="s">
        <v>17</v>
      </c>
      <c r="D41">
        <f>((D40-D16)/D40)^2*100</f>
        <v>76.592560914575074</v>
      </c>
      <c r="E41" t="s">
        <v>22</v>
      </c>
    </row>
    <row r="42" spans="1:5" x14ac:dyDescent="0.15">
      <c r="C42" t="s">
        <v>18</v>
      </c>
      <c r="D42">
        <f>D40</f>
        <v>4.8066046515042267</v>
      </c>
      <c r="E42" t="s">
        <v>20</v>
      </c>
    </row>
    <row r="43" spans="1:5" x14ac:dyDescent="0.15">
      <c r="C43" t="s">
        <v>19</v>
      </c>
      <c r="D43">
        <f>(D42-D16)*(D32-D42*D17)</f>
        <v>24.666060690695364</v>
      </c>
      <c r="E43" t="s">
        <v>23</v>
      </c>
    </row>
  </sheetData>
  <mergeCells count="4">
    <mergeCell ref="D2:E2"/>
    <mergeCell ref="D3:E3"/>
    <mergeCell ref="B6:B10"/>
    <mergeCell ref="B12:B22"/>
  </mergeCells>
  <phoneticPr fontId="1"/>
  <conditionalFormatting sqref="G1:G1048576">
    <cfRule type="cellIs" dxfId="4" priority="1" operator="between">
      <formula>0.125</formula>
      <formula>0.135</formula>
    </cfRule>
  </conditionalFormatting>
  <hyperlinks>
    <hyperlink ref="D4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9"/>
  <sheetViews>
    <sheetView topLeftCell="A4" workbookViewId="0">
      <selection activeCell="L38" sqref="L38"/>
    </sheetView>
  </sheetViews>
  <sheetFormatPr defaultRowHeight="13.5" x14ac:dyDescent="0.15"/>
  <cols>
    <col min="2" max="2" width="2.875" bestFit="1" customWidth="1"/>
    <col min="3" max="3" width="19.625" customWidth="1"/>
    <col min="4" max="4" width="9" customWidth="1"/>
    <col min="5" max="5" width="18.25" customWidth="1"/>
    <col min="6" max="6" width="6.875" customWidth="1"/>
    <col min="7" max="7" width="12.875" customWidth="1"/>
    <col min="8" max="8" width="10.875" customWidth="1"/>
    <col min="9" max="9" width="7.75" customWidth="1"/>
    <col min="10" max="10" width="7.5" customWidth="1"/>
  </cols>
  <sheetData>
    <row r="2" spans="2:11" x14ac:dyDescent="0.15">
      <c r="C2" t="s">
        <v>49</v>
      </c>
      <c r="D2" s="36" t="s">
        <v>102</v>
      </c>
      <c r="E2" s="36"/>
      <c r="F2" t="s">
        <v>95</v>
      </c>
      <c r="G2" t="s">
        <v>99</v>
      </c>
      <c r="H2" t="s">
        <v>96</v>
      </c>
      <c r="I2" t="s">
        <v>97</v>
      </c>
      <c r="J2" t="s">
        <v>98</v>
      </c>
      <c r="K2" t="s">
        <v>38</v>
      </c>
    </row>
    <row r="3" spans="2:11" x14ac:dyDescent="0.15">
      <c r="C3" t="s">
        <v>43</v>
      </c>
      <c r="D3" s="36" t="s">
        <v>103</v>
      </c>
      <c r="E3" s="36"/>
      <c r="I3">
        <f>H3*PI()/30*G3</f>
        <v>0</v>
      </c>
      <c r="J3" t="e">
        <f>I3/($D$32*F3)*100</f>
        <v>#DIV/0!</v>
      </c>
      <c r="K3">
        <f>G3*1000</f>
        <v>0</v>
      </c>
    </row>
    <row r="4" spans="2:11" x14ac:dyDescent="0.15">
      <c r="C4" t="s">
        <v>75</v>
      </c>
      <c r="D4" s="10"/>
      <c r="F4">
        <f>D16</f>
        <v>0.46</v>
      </c>
      <c r="G4">
        <f>F4*$D$29-$D$30</f>
        <v>0</v>
      </c>
      <c r="H4">
        <f>D33</f>
        <v>5775.4000000000005</v>
      </c>
      <c r="I4">
        <f>H4*PI()/30*G4</f>
        <v>0</v>
      </c>
      <c r="J4">
        <f t="shared" ref="J4:J26" si="0">I4/($D$32*F4)*100</f>
        <v>0</v>
      </c>
      <c r="K4">
        <f t="shared" ref="K4:K26" si="1">G4*1000</f>
        <v>0</v>
      </c>
    </row>
    <row r="5" spans="2:11" ht="13.5" customHeight="1" thickBot="1" x14ac:dyDescent="0.2">
      <c r="F5">
        <f t="shared" ref="F5:F48" si="2">F4+$D$16</f>
        <v>0.92</v>
      </c>
      <c r="G5">
        <f>F5*$D$29-$D$30</f>
        <v>5.0959123310166032E-3</v>
      </c>
      <c r="H5">
        <f t="shared" ref="H5:H26" si="3">H4-$D$27*(G5-G4)</f>
        <v>5729.4036800000003</v>
      </c>
      <c r="I5">
        <f>H5*PI()/30*G5</f>
        <v>3.0574544000000001</v>
      </c>
      <c r="J5">
        <f t="shared" si="0"/>
        <v>49.601791044776114</v>
      </c>
      <c r="K5">
        <f t="shared" si="1"/>
        <v>5.0959123310166028</v>
      </c>
    </row>
    <row r="6" spans="2:11" x14ac:dyDescent="0.15">
      <c r="B6" s="37" t="s">
        <v>52</v>
      </c>
      <c r="C6" s="12" t="s">
        <v>44</v>
      </c>
      <c r="D6" s="2">
        <v>28</v>
      </c>
      <c r="E6" s="3" t="s">
        <v>48</v>
      </c>
      <c r="F6">
        <f t="shared" si="2"/>
        <v>1.3800000000000001</v>
      </c>
      <c r="G6">
        <f t="shared" ref="G6:G26" si="4">F6*$D$29-$D$30</f>
        <v>1.0191824662033208E-2</v>
      </c>
      <c r="H6">
        <f t="shared" si="3"/>
        <v>5683.4073600000002</v>
      </c>
      <c r="I6">
        <f t="shared" ref="I6:I26" si="5">H6*PI()/30*G6</f>
        <v>6.0658176000000026</v>
      </c>
      <c r="J6">
        <f t="shared" si="0"/>
        <v>65.604776119403013</v>
      </c>
      <c r="K6">
        <f t="shared" si="1"/>
        <v>10.191824662033207</v>
      </c>
    </row>
    <row r="7" spans="2:11" x14ac:dyDescent="0.15">
      <c r="B7" s="38"/>
      <c r="C7" s="13" t="s">
        <v>47</v>
      </c>
      <c r="D7" s="4">
        <v>30.5</v>
      </c>
      <c r="E7" s="5" t="s">
        <v>48</v>
      </c>
      <c r="F7">
        <f t="shared" si="2"/>
        <v>1.84</v>
      </c>
      <c r="G7">
        <f t="shared" si="4"/>
        <v>1.5287736993049809E-2</v>
      </c>
      <c r="H7">
        <f t="shared" si="3"/>
        <v>5637.41104</v>
      </c>
      <c r="I7">
        <f t="shared" si="5"/>
        <v>9.0250895999999994</v>
      </c>
      <c r="J7">
        <f t="shared" si="0"/>
        <v>73.208059701492516</v>
      </c>
      <c r="K7">
        <f t="shared" si="1"/>
        <v>15.287736993049808</v>
      </c>
    </row>
    <row r="8" spans="2:11" x14ac:dyDescent="0.15">
      <c r="B8" s="38"/>
      <c r="C8" s="13" t="s">
        <v>45</v>
      </c>
      <c r="D8" s="4">
        <v>3</v>
      </c>
      <c r="E8" s="5" t="s">
        <v>48</v>
      </c>
      <c r="F8">
        <f t="shared" si="2"/>
        <v>2.3000000000000003</v>
      </c>
      <c r="G8">
        <f t="shared" si="4"/>
        <v>2.0383649324066413E-2</v>
      </c>
      <c r="H8">
        <f t="shared" si="3"/>
        <v>5591.4147199999998</v>
      </c>
      <c r="I8">
        <f t="shared" si="5"/>
        <v>11.935270400000002</v>
      </c>
      <c r="J8">
        <f t="shared" si="0"/>
        <v>77.451462686567169</v>
      </c>
      <c r="K8">
        <f t="shared" si="1"/>
        <v>20.383649324066411</v>
      </c>
    </row>
    <row r="9" spans="2:11" x14ac:dyDescent="0.15">
      <c r="B9" s="38"/>
      <c r="C9" s="13" t="s">
        <v>73</v>
      </c>
      <c r="D9" s="9">
        <v>11</v>
      </c>
      <c r="E9" s="15" t="s">
        <v>48</v>
      </c>
      <c r="F9">
        <f t="shared" si="2"/>
        <v>2.7600000000000002</v>
      </c>
      <c r="G9">
        <f t="shared" si="4"/>
        <v>2.5479561655083017E-2</v>
      </c>
      <c r="H9">
        <f t="shared" si="3"/>
        <v>5545.4183999999996</v>
      </c>
      <c r="I9">
        <f t="shared" si="5"/>
        <v>14.79636</v>
      </c>
      <c r="J9">
        <f t="shared" si="0"/>
        <v>80.014925373134332</v>
      </c>
      <c r="K9">
        <f t="shared" si="1"/>
        <v>25.479561655083018</v>
      </c>
    </row>
    <row r="10" spans="2:11" ht="14.25" thickBot="1" x14ac:dyDescent="0.2">
      <c r="B10" s="39"/>
      <c r="C10" s="14" t="s">
        <v>46</v>
      </c>
      <c r="D10" s="6">
        <v>59.7</v>
      </c>
      <c r="E10" s="7" t="s">
        <v>51</v>
      </c>
      <c r="F10">
        <f t="shared" si="2"/>
        <v>3.22</v>
      </c>
      <c r="G10">
        <f t="shared" si="4"/>
        <v>3.0575473986099617E-2</v>
      </c>
      <c r="H10">
        <f t="shared" si="3"/>
        <v>5499.4220799999994</v>
      </c>
      <c r="I10">
        <f t="shared" si="5"/>
        <v>17.6083584</v>
      </c>
      <c r="J10">
        <f t="shared" si="0"/>
        <v>81.618422174840077</v>
      </c>
      <c r="K10">
        <f t="shared" si="1"/>
        <v>30.575473986099617</v>
      </c>
    </row>
    <row r="11" spans="2:11" ht="13.5" customHeight="1" thickBot="1" x14ac:dyDescent="0.2">
      <c r="F11">
        <f t="shared" si="2"/>
        <v>3.68</v>
      </c>
      <c r="G11">
        <f t="shared" si="4"/>
        <v>3.5671386317116222E-2</v>
      </c>
      <c r="H11">
        <f t="shared" si="3"/>
        <v>5453.4257599999992</v>
      </c>
      <c r="I11">
        <f t="shared" si="5"/>
        <v>20.371265599999994</v>
      </c>
      <c r="J11">
        <f t="shared" si="0"/>
        <v>82.62194029850744</v>
      </c>
      <c r="K11">
        <f t="shared" si="1"/>
        <v>35.671386317116223</v>
      </c>
    </row>
    <row r="12" spans="2:11" x14ac:dyDescent="0.15">
      <c r="B12" s="37" t="s">
        <v>60</v>
      </c>
      <c r="C12" s="12" t="s">
        <v>72</v>
      </c>
      <c r="D12" s="23">
        <v>862</v>
      </c>
      <c r="E12" s="3" t="s">
        <v>54</v>
      </c>
      <c r="F12">
        <f t="shared" si="2"/>
        <v>4.1400000000000006</v>
      </c>
      <c r="G12">
        <f t="shared" si="4"/>
        <v>4.0767298648132833E-2</v>
      </c>
      <c r="H12">
        <f t="shared" si="3"/>
        <v>5407.429439999999</v>
      </c>
      <c r="I12">
        <f t="shared" si="5"/>
        <v>23.085081600000006</v>
      </c>
      <c r="J12">
        <f t="shared" si="0"/>
        <v>83.225472636815937</v>
      </c>
      <c r="K12">
        <f t="shared" si="1"/>
        <v>40.767298648132829</v>
      </c>
    </row>
    <row r="13" spans="2:11" x14ac:dyDescent="0.15">
      <c r="B13" s="38"/>
      <c r="C13" s="13" t="s">
        <v>53</v>
      </c>
      <c r="D13" s="4">
        <v>240</v>
      </c>
      <c r="E13" s="5" t="s">
        <v>23</v>
      </c>
      <c r="F13">
        <f t="shared" si="2"/>
        <v>4.6000000000000005</v>
      </c>
      <c r="G13">
        <f t="shared" si="4"/>
        <v>4.586321097914943E-2</v>
      </c>
      <c r="H13">
        <f t="shared" si="3"/>
        <v>5361.4331199999988</v>
      </c>
      <c r="I13">
        <f t="shared" si="5"/>
        <v>25.749806399999997</v>
      </c>
      <c r="J13">
        <f t="shared" si="0"/>
        <v>83.549014925373115</v>
      </c>
      <c r="K13">
        <f t="shared" si="1"/>
        <v>45.863210979149429</v>
      </c>
    </row>
    <row r="14" spans="2:11" x14ac:dyDescent="0.15">
      <c r="B14" s="38"/>
      <c r="C14" s="13" t="s">
        <v>80</v>
      </c>
      <c r="D14" s="4">
        <v>21</v>
      </c>
      <c r="E14" s="5" t="s">
        <v>101</v>
      </c>
      <c r="F14">
        <f t="shared" si="2"/>
        <v>5.0600000000000005</v>
      </c>
      <c r="G14">
        <f t="shared" si="4"/>
        <v>5.0959123310166034E-2</v>
      </c>
      <c r="H14">
        <f t="shared" si="3"/>
        <v>5315.4367999999986</v>
      </c>
      <c r="I14">
        <f t="shared" si="5"/>
        <v>28.36544</v>
      </c>
      <c r="J14">
        <f t="shared" si="0"/>
        <v>83.668928086838534</v>
      </c>
      <c r="K14">
        <f t="shared" si="1"/>
        <v>50.959123310166035</v>
      </c>
    </row>
    <row r="15" spans="2:11" x14ac:dyDescent="0.15">
      <c r="B15" s="38"/>
      <c r="C15" s="13" t="s">
        <v>55</v>
      </c>
      <c r="D15" s="4"/>
      <c r="E15" s="5" t="s">
        <v>77</v>
      </c>
      <c r="F15">
        <f t="shared" si="2"/>
        <v>5.5200000000000005</v>
      </c>
      <c r="G15">
        <f t="shared" si="4"/>
        <v>5.6055035641182638E-2</v>
      </c>
      <c r="H15">
        <f t="shared" si="3"/>
        <v>5269.4404799999984</v>
      </c>
      <c r="I15">
        <f t="shared" si="5"/>
        <v>30.931982399999992</v>
      </c>
      <c r="J15">
        <f t="shared" si="0"/>
        <v>83.636119402985059</v>
      </c>
      <c r="K15">
        <f t="shared" si="1"/>
        <v>56.055035641182641</v>
      </c>
    </row>
    <row r="16" spans="2:11" x14ac:dyDescent="0.15">
      <c r="B16" s="38"/>
      <c r="C16" s="13" t="s">
        <v>56</v>
      </c>
      <c r="D16" s="24">
        <v>0.46</v>
      </c>
      <c r="E16" s="5" t="s">
        <v>100</v>
      </c>
      <c r="F16">
        <f t="shared" si="2"/>
        <v>5.98</v>
      </c>
      <c r="G16">
        <f t="shared" si="4"/>
        <v>6.1150947972199242E-2</v>
      </c>
      <c r="H16">
        <f t="shared" si="3"/>
        <v>5223.4441599999982</v>
      </c>
      <c r="I16">
        <f t="shared" si="5"/>
        <v>33.449433599999992</v>
      </c>
      <c r="J16">
        <f t="shared" si="0"/>
        <v>83.485832376578614</v>
      </c>
      <c r="K16">
        <f t="shared" si="1"/>
        <v>61.150947972199241</v>
      </c>
    </row>
    <row r="17" spans="1:11" x14ac:dyDescent="0.15">
      <c r="B17" s="38"/>
      <c r="C17" s="13" t="s">
        <v>57</v>
      </c>
      <c r="D17" s="24">
        <v>0.11600000000000001</v>
      </c>
      <c r="E17" s="5" t="s">
        <v>21</v>
      </c>
      <c r="F17">
        <f t="shared" si="2"/>
        <v>6.44</v>
      </c>
      <c r="G17">
        <f t="shared" si="4"/>
        <v>6.6246860303215846E-2</v>
      </c>
      <c r="H17">
        <f t="shared" si="3"/>
        <v>5177.447839999998</v>
      </c>
      <c r="I17">
        <f t="shared" si="5"/>
        <v>35.917793599999996</v>
      </c>
      <c r="J17">
        <f t="shared" si="0"/>
        <v>83.243240938166295</v>
      </c>
      <c r="K17">
        <f t="shared" si="1"/>
        <v>66.24686030321584</v>
      </c>
    </row>
    <row r="18" spans="1:11" x14ac:dyDescent="0.15">
      <c r="B18" s="38"/>
      <c r="C18" s="13" t="s">
        <v>58</v>
      </c>
      <c r="D18" s="4"/>
      <c r="E18" s="5"/>
      <c r="F18">
        <f t="shared" si="2"/>
        <v>6.9</v>
      </c>
      <c r="G18">
        <f t="shared" si="4"/>
        <v>7.1342772634232457E-2</v>
      </c>
      <c r="H18">
        <f t="shared" si="3"/>
        <v>5131.4515199999978</v>
      </c>
      <c r="I18">
        <f t="shared" si="5"/>
        <v>38.337062399999994</v>
      </c>
      <c r="J18">
        <f t="shared" si="0"/>
        <v>82.926805970149232</v>
      </c>
      <c r="K18">
        <f t="shared" si="1"/>
        <v>71.34277263423246</v>
      </c>
    </row>
    <row r="19" spans="1:11" x14ac:dyDescent="0.15">
      <c r="B19" s="38"/>
      <c r="C19" s="13" t="s">
        <v>66</v>
      </c>
      <c r="D19" s="9">
        <v>22</v>
      </c>
      <c r="E19" s="5"/>
      <c r="F19">
        <f t="shared" si="2"/>
        <v>7.36</v>
      </c>
      <c r="G19">
        <f t="shared" si="4"/>
        <v>7.6438684965249054E-2</v>
      </c>
      <c r="H19">
        <f t="shared" si="3"/>
        <v>5085.4551999999976</v>
      </c>
      <c r="I19">
        <f t="shared" si="5"/>
        <v>40.707239999999992</v>
      </c>
      <c r="J19">
        <f t="shared" si="0"/>
        <v>82.550373134328339</v>
      </c>
      <c r="K19">
        <f t="shared" si="1"/>
        <v>76.438684965249053</v>
      </c>
    </row>
    <row r="20" spans="1:11" x14ac:dyDescent="0.15">
      <c r="B20" s="38"/>
      <c r="C20" s="13" t="s">
        <v>81</v>
      </c>
      <c r="D20" s="4"/>
      <c r="E20" s="5" t="s">
        <v>59</v>
      </c>
      <c r="F20">
        <f t="shared" si="2"/>
        <v>7.82</v>
      </c>
      <c r="G20">
        <f t="shared" si="4"/>
        <v>8.1534597296265651E-2</v>
      </c>
      <c r="H20">
        <f t="shared" si="3"/>
        <v>5039.4588799999974</v>
      </c>
      <c r="I20">
        <f t="shared" si="5"/>
        <v>43.028326399999983</v>
      </c>
      <c r="J20">
        <f t="shared" si="0"/>
        <v>82.124530289727787</v>
      </c>
      <c r="K20">
        <f t="shared" si="1"/>
        <v>81.534597296265645</v>
      </c>
    </row>
    <row r="21" spans="1:11" x14ac:dyDescent="0.15">
      <c r="B21" s="38"/>
      <c r="C21" s="13" t="s">
        <v>69</v>
      </c>
      <c r="D21" s="4"/>
      <c r="E21" s="5" t="s">
        <v>61</v>
      </c>
      <c r="F21">
        <f t="shared" si="2"/>
        <v>8.2800000000000011</v>
      </c>
      <c r="G21">
        <f t="shared" si="4"/>
        <v>8.6630509627282276E-2</v>
      </c>
      <c r="H21">
        <f t="shared" si="3"/>
        <v>4993.4625599999972</v>
      </c>
      <c r="I21">
        <f t="shared" si="5"/>
        <v>45.300321599999997</v>
      </c>
      <c r="J21">
        <f t="shared" si="0"/>
        <v>81.657512437810936</v>
      </c>
      <c r="K21">
        <f t="shared" si="1"/>
        <v>86.630509627282279</v>
      </c>
    </row>
    <row r="22" spans="1:11" ht="14.25" thickBot="1" x14ac:dyDescent="0.2">
      <c r="B22" s="39"/>
      <c r="C22" s="14" t="s">
        <v>68</v>
      </c>
      <c r="D22" s="8"/>
      <c r="E22" s="7" t="s">
        <v>63</v>
      </c>
      <c r="F22">
        <f t="shared" si="2"/>
        <v>8.740000000000002</v>
      </c>
      <c r="G22">
        <f t="shared" si="4"/>
        <v>9.1726421958298887E-2</v>
      </c>
      <c r="H22">
        <f t="shared" si="3"/>
        <v>4947.466239999997</v>
      </c>
      <c r="I22">
        <f t="shared" si="5"/>
        <v>47.523225599999989</v>
      </c>
      <c r="J22">
        <f t="shared" si="0"/>
        <v>81.155820895522339</v>
      </c>
      <c r="K22">
        <f t="shared" si="1"/>
        <v>91.726421958298886</v>
      </c>
    </row>
    <row r="23" spans="1:11" ht="14.25" thickBot="1" x14ac:dyDescent="0.2">
      <c r="F23">
        <f t="shared" si="2"/>
        <v>9.2000000000000028</v>
      </c>
      <c r="G23">
        <f t="shared" si="4"/>
        <v>9.6822334289315498E-2</v>
      </c>
      <c r="H23">
        <f t="shared" si="3"/>
        <v>4901.4699199999968</v>
      </c>
      <c r="I23">
        <f t="shared" si="5"/>
        <v>49.697038399999997</v>
      </c>
      <c r="J23">
        <f t="shared" si="0"/>
        <v>80.624656716417874</v>
      </c>
      <c r="K23">
        <f t="shared" si="1"/>
        <v>96.822334289315492</v>
      </c>
    </row>
    <row r="24" spans="1:11" x14ac:dyDescent="0.15">
      <c r="B24" s="16"/>
      <c r="C24" s="12" t="s">
        <v>84</v>
      </c>
      <c r="D24" s="2">
        <v>10</v>
      </c>
      <c r="E24" s="3" t="s">
        <v>15</v>
      </c>
      <c r="F24">
        <f t="shared" si="2"/>
        <v>9.6600000000000037</v>
      </c>
      <c r="G24">
        <f t="shared" si="4"/>
        <v>0.10191824662033211</v>
      </c>
      <c r="H24">
        <f t="shared" si="3"/>
        <v>4855.4735999999966</v>
      </c>
      <c r="I24">
        <f t="shared" si="5"/>
        <v>51.821759999999998</v>
      </c>
      <c r="J24">
        <f t="shared" si="0"/>
        <v>80.068230277185464</v>
      </c>
      <c r="K24">
        <f t="shared" si="1"/>
        <v>101.91824662033211</v>
      </c>
    </row>
    <row r="25" spans="1:11" x14ac:dyDescent="0.15">
      <c r="B25" s="17"/>
      <c r="C25" s="18" t="s">
        <v>88</v>
      </c>
      <c r="D25" s="4">
        <f>D12*D24</f>
        <v>8620</v>
      </c>
      <c r="E25" s="5" t="s">
        <v>59</v>
      </c>
      <c r="F25">
        <f t="shared" si="2"/>
        <v>10.120000000000005</v>
      </c>
      <c r="G25">
        <f t="shared" si="4"/>
        <v>0.10701415895134872</v>
      </c>
      <c r="H25">
        <f t="shared" si="3"/>
        <v>4809.4772799999964</v>
      </c>
      <c r="I25">
        <f t="shared" si="5"/>
        <v>53.897390399999992</v>
      </c>
      <c r="J25">
        <f t="shared" si="0"/>
        <v>79.489986431478926</v>
      </c>
      <c r="K25">
        <f t="shared" si="1"/>
        <v>107.01415895134872</v>
      </c>
    </row>
    <row r="26" spans="1:11" x14ac:dyDescent="0.15">
      <c r="B26" s="17"/>
      <c r="C26" s="4"/>
      <c r="D26" s="4">
        <f>D25*(PI()/30)</f>
        <v>902.68428913146715</v>
      </c>
      <c r="E26" s="5" t="s">
        <v>89</v>
      </c>
      <c r="F26">
        <f t="shared" si="2"/>
        <v>10.580000000000005</v>
      </c>
      <c r="G26">
        <f t="shared" si="4"/>
        <v>0.11211007128236533</v>
      </c>
      <c r="H26">
        <f t="shared" si="3"/>
        <v>4763.4809599999962</v>
      </c>
      <c r="I26">
        <f t="shared" si="5"/>
        <v>55.923929599999994</v>
      </c>
      <c r="J26">
        <f t="shared" si="0"/>
        <v>78.892770927968797</v>
      </c>
      <c r="K26">
        <f t="shared" si="1"/>
        <v>112.11007128236533</v>
      </c>
    </row>
    <row r="27" spans="1:11" x14ac:dyDescent="0.15">
      <c r="A27" t="s">
        <v>86</v>
      </c>
      <c r="B27" s="17"/>
      <c r="C27" s="18" t="s">
        <v>83</v>
      </c>
      <c r="D27" s="4">
        <f>(PI()/30)*((D17*D25^2)/(D24^2))</f>
        <v>9026.120743883368</v>
      </c>
      <c r="E27" s="5" t="s">
        <v>37</v>
      </c>
      <c r="F27">
        <f t="shared" si="2"/>
        <v>11.040000000000006</v>
      </c>
      <c r="G27">
        <f t="shared" ref="G27:G49" si="6">F27*$D$29-$D$30</f>
        <v>0.11720598361338194</v>
      </c>
      <c r="H27">
        <f t="shared" ref="H27:H49" si="7">H26-$D$27*(G27-G26)</f>
        <v>4717.484639999996</v>
      </c>
      <c r="I27">
        <f t="shared" ref="I27:I49" si="8">H27*PI()/30*G27</f>
        <v>57.901377599999996</v>
      </c>
      <c r="J27">
        <f t="shared" ref="J27:J49" si="9">I27/($D$32*F27)*100</f>
        <v>78.278955223880544</v>
      </c>
      <c r="K27">
        <f t="shared" ref="K27:K49" si="10">G27*1000</f>
        <v>117.20598361338195</v>
      </c>
    </row>
    <row r="28" spans="1:11" x14ac:dyDescent="0.15">
      <c r="B28" s="17"/>
      <c r="C28" s="18" t="s">
        <v>90</v>
      </c>
      <c r="D28" s="4">
        <f>D24/D26</f>
        <v>1.1078070284818702E-2</v>
      </c>
      <c r="E28" s="5" t="s">
        <v>93</v>
      </c>
      <c r="F28">
        <f t="shared" si="2"/>
        <v>11.500000000000007</v>
      </c>
      <c r="G28">
        <f t="shared" si="6"/>
        <v>0.12230189594439857</v>
      </c>
      <c r="H28">
        <f t="shared" si="7"/>
        <v>4671.4883199999958</v>
      </c>
      <c r="I28">
        <f t="shared" si="8"/>
        <v>59.8297344</v>
      </c>
      <c r="J28">
        <f t="shared" si="9"/>
        <v>77.650531343283518</v>
      </c>
      <c r="K28">
        <f t="shared" si="10"/>
        <v>122.30189594439857</v>
      </c>
    </row>
    <row r="29" spans="1:11" x14ac:dyDescent="0.15">
      <c r="B29" s="17"/>
      <c r="C29" s="18" t="s">
        <v>91</v>
      </c>
      <c r="D29" s="4">
        <f>D28</f>
        <v>1.1078070284818702E-2</v>
      </c>
      <c r="E29" s="5" t="s">
        <v>24</v>
      </c>
      <c r="F29">
        <f t="shared" si="2"/>
        <v>11.960000000000008</v>
      </c>
      <c r="G29">
        <f t="shared" si="6"/>
        <v>0.12739780827541516</v>
      </c>
      <c r="H29">
        <f t="shared" si="7"/>
        <v>4625.4919999999956</v>
      </c>
      <c r="I29">
        <f t="shared" si="8"/>
        <v>61.708999999999989</v>
      </c>
      <c r="J29">
        <f t="shared" si="9"/>
        <v>77.009184845005663</v>
      </c>
      <c r="K29">
        <f t="shared" si="10"/>
        <v>127.39780827541516</v>
      </c>
    </row>
    <row r="30" spans="1:11" ht="14.25" thickBot="1" x14ac:dyDescent="0.2">
      <c r="B30" s="19"/>
      <c r="C30" s="20" t="s">
        <v>94</v>
      </c>
      <c r="D30" s="6">
        <f>D29*D16</f>
        <v>5.0959123310166032E-3</v>
      </c>
      <c r="E30" s="7" t="s">
        <v>11</v>
      </c>
      <c r="F30">
        <f t="shared" si="2"/>
        <v>12.420000000000009</v>
      </c>
      <c r="G30">
        <f t="shared" si="6"/>
        <v>0.13249372060643178</v>
      </c>
      <c r="H30">
        <f t="shared" si="7"/>
        <v>4579.4956799999954</v>
      </c>
      <c r="I30">
        <f t="shared" si="8"/>
        <v>63.539174399999993</v>
      </c>
      <c r="J30">
        <f t="shared" si="9"/>
        <v>76.356351575455989</v>
      </c>
      <c r="K30">
        <f t="shared" si="10"/>
        <v>132.49372060643176</v>
      </c>
    </row>
    <row r="31" spans="1:11" ht="14.25" thickBot="1" x14ac:dyDescent="0.2">
      <c r="F31">
        <f t="shared" si="2"/>
        <v>12.88000000000001</v>
      </c>
      <c r="G31">
        <f t="shared" si="6"/>
        <v>0.13758963293744839</v>
      </c>
      <c r="H31">
        <f t="shared" si="7"/>
        <v>4533.4993599999952</v>
      </c>
      <c r="I31">
        <f t="shared" si="8"/>
        <v>65.320257599999991</v>
      </c>
      <c r="J31">
        <f t="shared" si="9"/>
        <v>75.693262260127867</v>
      </c>
      <c r="K31">
        <f t="shared" si="10"/>
        <v>137.58963293744839</v>
      </c>
    </row>
    <row r="32" spans="1:11" x14ac:dyDescent="0.15">
      <c r="B32" s="16"/>
      <c r="C32" s="21" t="s">
        <v>78</v>
      </c>
      <c r="D32" s="21">
        <f>Graph!M2</f>
        <v>6.7</v>
      </c>
      <c r="E32" s="3" t="s">
        <v>15</v>
      </c>
      <c r="F32">
        <f t="shared" si="2"/>
        <v>13.340000000000011</v>
      </c>
      <c r="G32">
        <f t="shared" si="6"/>
        <v>0.142685545268465</v>
      </c>
      <c r="H32">
        <f t="shared" si="7"/>
        <v>4487.5030399999951</v>
      </c>
      <c r="I32">
        <f t="shared" si="8"/>
        <v>67.052249599999982</v>
      </c>
      <c r="J32">
        <f t="shared" si="9"/>
        <v>75.020977869274247</v>
      </c>
      <c r="K32">
        <f t="shared" si="10"/>
        <v>142.68554526846501</v>
      </c>
    </row>
    <row r="33" spans="1:11" x14ac:dyDescent="0.15">
      <c r="B33" s="17"/>
      <c r="C33" s="18" t="s">
        <v>79</v>
      </c>
      <c r="D33" s="4">
        <f>D12*D32</f>
        <v>5775.4000000000005</v>
      </c>
      <c r="E33" s="5" t="s">
        <v>59</v>
      </c>
      <c r="F33">
        <f t="shared" si="2"/>
        <v>13.800000000000011</v>
      </c>
      <c r="G33">
        <f t="shared" si="6"/>
        <v>0.14778145759948161</v>
      </c>
      <c r="H33">
        <f t="shared" si="7"/>
        <v>4441.5067199999949</v>
      </c>
      <c r="I33">
        <f t="shared" si="8"/>
        <v>68.735150399999981</v>
      </c>
      <c r="J33">
        <f t="shared" si="9"/>
        <v>74.34041791044767</v>
      </c>
      <c r="K33">
        <f t="shared" si="10"/>
        <v>147.7814575994816</v>
      </c>
    </row>
    <row r="34" spans="1:11" x14ac:dyDescent="0.15">
      <c r="B34" s="17"/>
      <c r="C34" s="4" t="s">
        <v>82</v>
      </c>
      <c r="D34" s="4" t="e">
        <f>D33/D20</f>
        <v>#DIV/0!</v>
      </c>
      <c r="E34" s="5"/>
      <c r="F34">
        <f t="shared" si="2"/>
        <v>14.260000000000012</v>
      </c>
      <c r="G34">
        <f t="shared" si="6"/>
        <v>0.15287736993049822</v>
      </c>
      <c r="H34">
        <f t="shared" si="7"/>
        <v>4395.5103999999947</v>
      </c>
      <c r="I34">
        <f t="shared" si="8"/>
        <v>70.368959999999987</v>
      </c>
      <c r="J34">
        <f t="shared" si="9"/>
        <v>73.652383245064911</v>
      </c>
      <c r="K34">
        <f t="shared" si="10"/>
        <v>152.87736993049822</v>
      </c>
    </row>
    <row r="35" spans="1:11" ht="14.25" thickBot="1" x14ac:dyDescent="0.2">
      <c r="A35" t="s">
        <v>86</v>
      </c>
      <c r="B35" s="19"/>
      <c r="C35" s="20" t="s">
        <v>85</v>
      </c>
      <c r="D35" s="6">
        <f>D32/D17</f>
        <v>57.758620689655174</v>
      </c>
      <c r="E35" s="7" t="s">
        <v>20</v>
      </c>
      <c r="F35">
        <f t="shared" si="2"/>
        <v>14.720000000000013</v>
      </c>
      <c r="G35">
        <f t="shared" si="6"/>
        <v>0.15797328226151483</v>
      </c>
      <c r="H35">
        <f t="shared" si="7"/>
        <v>4349.5140799999945</v>
      </c>
      <c r="I35">
        <f t="shared" si="8"/>
        <v>71.953678399999973</v>
      </c>
      <c r="J35">
        <f t="shared" si="9"/>
        <v>72.957574626865579</v>
      </c>
      <c r="K35">
        <f t="shared" si="10"/>
        <v>157.97328226151484</v>
      </c>
    </row>
    <row r="36" spans="1:11" x14ac:dyDescent="0.15">
      <c r="F36">
        <f t="shared" si="2"/>
        <v>15.180000000000014</v>
      </c>
      <c r="G36">
        <f t="shared" si="6"/>
        <v>0.16306919459253144</v>
      </c>
      <c r="H36">
        <f t="shared" si="7"/>
        <v>4303.5177599999943</v>
      </c>
      <c r="I36">
        <f t="shared" si="8"/>
        <v>73.48930559999998</v>
      </c>
      <c r="J36">
        <f t="shared" si="9"/>
        <v>72.256607869742112</v>
      </c>
      <c r="K36">
        <f t="shared" si="10"/>
        <v>163.06919459253143</v>
      </c>
    </row>
    <row r="37" spans="1:11" x14ac:dyDescent="0.15">
      <c r="C37" t="s">
        <v>104</v>
      </c>
      <c r="D37">
        <f>D17/(D29^2)</f>
        <v>945.21315397994726</v>
      </c>
      <c r="F37">
        <f t="shared" si="2"/>
        <v>15.640000000000015</v>
      </c>
      <c r="G37">
        <f t="shared" si="6"/>
        <v>0.16816510692354805</v>
      </c>
      <c r="H37">
        <f t="shared" si="7"/>
        <v>4257.5214399999941</v>
      </c>
      <c r="I37">
        <f t="shared" si="8"/>
        <v>74.975841599999967</v>
      </c>
      <c r="J37">
        <f t="shared" si="9"/>
        <v>71.550026338893673</v>
      </c>
      <c r="K37">
        <f t="shared" si="10"/>
        <v>168.16510692354805</v>
      </c>
    </row>
    <row r="38" spans="1:11" x14ac:dyDescent="0.15">
      <c r="F38">
        <f t="shared" si="2"/>
        <v>16.100000000000016</v>
      </c>
      <c r="G38">
        <f t="shared" si="6"/>
        <v>0.17326101925456466</v>
      </c>
      <c r="H38">
        <f t="shared" si="7"/>
        <v>4211.5251199999939</v>
      </c>
      <c r="I38">
        <f t="shared" si="8"/>
        <v>76.413286399999961</v>
      </c>
      <c r="J38">
        <f t="shared" si="9"/>
        <v>70.83831130063956</v>
      </c>
      <c r="K38">
        <f t="shared" si="10"/>
        <v>173.26101925456467</v>
      </c>
    </row>
    <row r="39" spans="1:11" x14ac:dyDescent="0.15">
      <c r="F39">
        <f t="shared" si="2"/>
        <v>16.560000000000016</v>
      </c>
      <c r="G39">
        <f t="shared" si="6"/>
        <v>0.17835693158558127</v>
      </c>
      <c r="H39">
        <f t="shared" si="7"/>
        <v>4165.5287999999937</v>
      </c>
      <c r="I39">
        <f t="shared" si="8"/>
        <v>77.801639999999963</v>
      </c>
      <c r="J39">
        <f t="shared" si="9"/>
        <v>70.121890547263575</v>
      </c>
      <c r="K39">
        <f t="shared" si="10"/>
        <v>178.35693158558126</v>
      </c>
    </row>
    <row r="40" spans="1:11" x14ac:dyDescent="0.15">
      <c r="C40" t="s">
        <v>76</v>
      </c>
      <c r="D40">
        <f>SQRT(D16*D32/D17)</f>
        <v>5.154509241163642</v>
      </c>
      <c r="E40" t="s">
        <v>20</v>
      </c>
      <c r="F40">
        <f t="shared" si="2"/>
        <v>17.020000000000017</v>
      </c>
      <c r="G40">
        <f t="shared" si="6"/>
        <v>0.18345284391659789</v>
      </c>
      <c r="H40">
        <f t="shared" si="7"/>
        <v>4119.5324799999935</v>
      </c>
      <c r="I40">
        <f t="shared" si="8"/>
        <v>79.140902399999945</v>
      </c>
      <c r="J40">
        <f t="shared" si="9"/>
        <v>69.401145623235053</v>
      </c>
      <c r="K40">
        <f t="shared" si="10"/>
        <v>183.45284391659789</v>
      </c>
    </row>
    <row r="41" spans="1:11" x14ac:dyDescent="0.15">
      <c r="C41" t="s">
        <v>17</v>
      </c>
      <c r="D41">
        <f>((D40-D16)/D40)^2*100</f>
        <v>82.947968000746798</v>
      </c>
      <c r="E41" t="s">
        <v>22</v>
      </c>
      <c r="F41">
        <f t="shared" si="2"/>
        <v>17.480000000000018</v>
      </c>
      <c r="G41">
        <f t="shared" si="6"/>
        <v>0.1885487562476145</v>
      </c>
      <c r="H41">
        <f t="shared" si="7"/>
        <v>4073.5361599999933</v>
      </c>
      <c r="I41">
        <f t="shared" si="8"/>
        <v>80.431073599999948</v>
      </c>
      <c r="J41">
        <f t="shared" si="9"/>
        <v>68.67641791044764</v>
      </c>
      <c r="K41">
        <f t="shared" si="10"/>
        <v>188.54875624761451</v>
      </c>
    </row>
    <row r="42" spans="1:11" x14ac:dyDescent="0.15">
      <c r="C42" t="s">
        <v>18</v>
      </c>
      <c r="D42">
        <f>D40</f>
        <v>5.154509241163642</v>
      </c>
      <c r="E42" t="s">
        <v>20</v>
      </c>
      <c r="F42">
        <f t="shared" si="2"/>
        <v>17.940000000000019</v>
      </c>
      <c r="G42">
        <f t="shared" si="6"/>
        <v>0.19364466857863111</v>
      </c>
      <c r="H42">
        <f t="shared" si="7"/>
        <v>4027.5398399999931</v>
      </c>
      <c r="I42">
        <f t="shared" si="8"/>
        <v>81.672153599999945</v>
      </c>
      <c r="J42">
        <f t="shared" si="9"/>
        <v>67.948013777267391</v>
      </c>
      <c r="K42">
        <f t="shared" si="10"/>
        <v>193.6446685786311</v>
      </c>
    </row>
    <row r="43" spans="1:11" x14ac:dyDescent="0.15">
      <c r="C43" t="s">
        <v>19</v>
      </c>
      <c r="D43">
        <f>(D42-D16)*(D32-D42*D17)</f>
        <v>28.646256528904896</v>
      </c>
      <c r="E43" t="s">
        <v>23</v>
      </c>
      <c r="F43">
        <f t="shared" si="2"/>
        <v>18.40000000000002</v>
      </c>
      <c r="G43">
        <f t="shared" si="6"/>
        <v>0.19874058090964772</v>
      </c>
      <c r="H43">
        <f t="shared" si="7"/>
        <v>3981.5435199999929</v>
      </c>
      <c r="I43">
        <f t="shared" si="8"/>
        <v>82.864142399999935</v>
      </c>
      <c r="J43">
        <f t="shared" si="9"/>
        <v>67.216208955223749</v>
      </c>
      <c r="K43">
        <f t="shared" si="10"/>
        <v>198.74058090964772</v>
      </c>
    </row>
    <row r="44" spans="1:11" x14ac:dyDescent="0.15">
      <c r="F44">
        <f t="shared" si="2"/>
        <v>18.860000000000021</v>
      </c>
      <c r="G44">
        <f t="shared" si="6"/>
        <v>0.20383649324066433</v>
      </c>
      <c r="H44">
        <f t="shared" si="7"/>
        <v>3935.5471999999927</v>
      </c>
      <c r="I44">
        <f t="shared" si="8"/>
        <v>84.007039999999932</v>
      </c>
      <c r="J44">
        <f t="shared" si="9"/>
        <v>66.481252275209187</v>
      </c>
      <c r="K44">
        <f t="shared" si="10"/>
        <v>203.83649324066434</v>
      </c>
    </row>
    <row r="45" spans="1:11" x14ac:dyDescent="0.15">
      <c r="F45">
        <f t="shared" si="2"/>
        <v>19.320000000000022</v>
      </c>
      <c r="G45">
        <f t="shared" si="6"/>
        <v>0.20893240557168097</v>
      </c>
      <c r="H45">
        <f t="shared" si="7"/>
        <v>3889.5508799999925</v>
      </c>
      <c r="I45">
        <f t="shared" si="8"/>
        <v>85.100846399999938</v>
      </c>
      <c r="J45">
        <f t="shared" si="9"/>
        <v>65.743368869935907</v>
      </c>
      <c r="K45">
        <f t="shared" si="10"/>
        <v>208.93240557168096</v>
      </c>
    </row>
    <row r="46" spans="1:11" x14ac:dyDescent="0.15">
      <c r="F46">
        <f t="shared" si="2"/>
        <v>19.780000000000022</v>
      </c>
      <c r="G46">
        <f t="shared" si="6"/>
        <v>0.21402831790269758</v>
      </c>
      <c r="H46">
        <f t="shared" si="7"/>
        <v>3843.5545599999923</v>
      </c>
      <c r="I46">
        <f t="shared" si="8"/>
        <v>86.145561599999937</v>
      </c>
      <c r="J46">
        <f t="shared" si="9"/>
        <v>65.002762929538221</v>
      </c>
      <c r="K46">
        <f t="shared" si="10"/>
        <v>214.02831790269758</v>
      </c>
    </row>
    <row r="47" spans="1:11" x14ac:dyDescent="0.15">
      <c r="F47">
        <f t="shared" si="2"/>
        <v>20.240000000000023</v>
      </c>
      <c r="G47">
        <f t="shared" si="6"/>
        <v>0.21912423023371419</v>
      </c>
      <c r="H47">
        <f t="shared" si="7"/>
        <v>3797.5582399999921</v>
      </c>
      <c r="I47">
        <f t="shared" si="8"/>
        <v>87.141185599999929</v>
      </c>
      <c r="J47">
        <f t="shared" si="9"/>
        <v>64.259620081411001</v>
      </c>
      <c r="K47">
        <f t="shared" si="10"/>
        <v>219.1242302337142</v>
      </c>
    </row>
    <row r="48" spans="1:11" x14ac:dyDescent="0.15">
      <c r="F48">
        <f t="shared" si="2"/>
        <v>20.700000000000024</v>
      </c>
      <c r="G48">
        <f t="shared" si="6"/>
        <v>0.2242201425647308</v>
      </c>
      <c r="H48">
        <f t="shared" si="7"/>
        <v>3751.5619199999919</v>
      </c>
      <c r="I48">
        <f t="shared" si="8"/>
        <v>88.087718399999915</v>
      </c>
      <c r="J48">
        <f t="shared" si="9"/>
        <v>63.514109452736179</v>
      </c>
      <c r="K48">
        <f t="shared" si="10"/>
        <v>224.22014256473079</v>
      </c>
    </row>
    <row r="49" spans="6:11" x14ac:dyDescent="0.15">
      <c r="F49">
        <v>21</v>
      </c>
      <c r="G49">
        <f t="shared" si="6"/>
        <v>0.22754356365017614</v>
      </c>
      <c r="H49">
        <f t="shared" si="7"/>
        <v>3721.5643199999945</v>
      </c>
      <c r="I49">
        <f t="shared" si="8"/>
        <v>88.678574399999874</v>
      </c>
      <c r="J49">
        <f t="shared" si="9"/>
        <v>63.026705330490309</v>
      </c>
      <c r="K49">
        <f t="shared" si="10"/>
        <v>227.54356365017614</v>
      </c>
    </row>
  </sheetData>
  <mergeCells count="4">
    <mergeCell ref="D2:E2"/>
    <mergeCell ref="D3:E3"/>
    <mergeCell ref="B6:B10"/>
    <mergeCell ref="B12:B22"/>
  </mergeCells>
  <phoneticPr fontId="1"/>
  <conditionalFormatting sqref="G1:G1048576">
    <cfRule type="cellIs" dxfId="3" priority="1" operator="between">
      <formula>0.125</formula>
      <formula>0.135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3"/>
  <sheetViews>
    <sheetView workbookViewId="0">
      <selection activeCell="I49" sqref="I49"/>
    </sheetView>
  </sheetViews>
  <sheetFormatPr defaultRowHeight="13.5" x14ac:dyDescent="0.15"/>
  <cols>
    <col min="2" max="2" width="2.875" bestFit="1" customWidth="1"/>
    <col min="3" max="3" width="19.625" customWidth="1"/>
    <col min="4" max="4" width="9" customWidth="1"/>
    <col min="5" max="5" width="18.25" customWidth="1"/>
    <col min="6" max="6" width="6.875" customWidth="1"/>
    <col min="7" max="7" width="12.875" customWidth="1"/>
    <col min="8" max="8" width="10.875" customWidth="1"/>
    <col min="9" max="9" width="7.75" customWidth="1"/>
    <col min="10" max="10" width="7.5" customWidth="1"/>
  </cols>
  <sheetData>
    <row r="2" spans="2:11" x14ac:dyDescent="0.15">
      <c r="C2" t="s">
        <v>49</v>
      </c>
      <c r="D2" s="36" t="s">
        <v>102</v>
      </c>
      <c r="E2" s="36"/>
      <c r="F2" t="s">
        <v>95</v>
      </c>
      <c r="G2" t="s">
        <v>99</v>
      </c>
      <c r="H2" t="s">
        <v>96</v>
      </c>
      <c r="I2" t="s">
        <v>97</v>
      </c>
      <c r="J2" t="s">
        <v>98</v>
      </c>
      <c r="K2" t="s">
        <v>38</v>
      </c>
    </row>
    <row r="3" spans="2:11" x14ac:dyDescent="0.15">
      <c r="C3" t="s">
        <v>43</v>
      </c>
      <c r="D3" s="36" t="s">
        <v>41</v>
      </c>
      <c r="E3" s="36"/>
      <c r="I3">
        <f>H3*PI()/30*G3</f>
        <v>0</v>
      </c>
      <c r="J3" t="e">
        <f>I3/($D$32*F3)*100</f>
        <v>#DIV/0!</v>
      </c>
      <c r="K3">
        <f>G3*1000</f>
        <v>0</v>
      </c>
    </row>
    <row r="4" spans="2:11" x14ac:dyDescent="0.15">
      <c r="C4" t="s">
        <v>75</v>
      </c>
      <c r="D4" s="10" t="s">
        <v>135</v>
      </c>
      <c r="F4">
        <f>D16</f>
        <v>0.45</v>
      </c>
      <c r="G4">
        <f>F4*$D$29-$D$30</f>
        <v>0</v>
      </c>
      <c r="H4">
        <f>D33</f>
        <v>6365</v>
      </c>
      <c r="I4">
        <f>H4*PI()/30*G4</f>
        <v>0</v>
      </c>
      <c r="J4">
        <f t="shared" ref="J4:J41" si="0">I4/($D$32*F4)*100</f>
        <v>0</v>
      </c>
      <c r="K4">
        <f t="shared" ref="K4:K41" si="1">G4*1000</f>
        <v>0</v>
      </c>
    </row>
    <row r="5" spans="2:11" ht="13.5" customHeight="1" thickBot="1" x14ac:dyDescent="0.2">
      <c r="F5">
        <f t="shared" ref="F5:F40" si="2">F4+$D$16</f>
        <v>0.9</v>
      </c>
      <c r="G5">
        <f>F5*$D$29-$D$30</f>
        <v>4.5233510141907103E-3</v>
      </c>
      <c r="H5">
        <f t="shared" ref="H5:H41" si="3">H4-$D$27*(G5-G4)</f>
        <v>6296.1724999999997</v>
      </c>
      <c r="I5">
        <f>H5*PI()/30*G5</f>
        <v>2.9823975000000007</v>
      </c>
      <c r="J5">
        <f t="shared" si="0"/>
        <v>49.459328358208964</v>
      </c>
      <c r="K5">
        <f t="shared" si="1"/>
        <v>4.5233510141907107</v>
      </c>
    </row>
    <row r="6" spans="2:11" x14ac:dyDescent="0.15">
      <c r="B6" s="37" t="s">
        <v>52</v>
      </c>
      <c r="C6" s="12" t="s">
        <v>44</v>
      </c>
      <c r="D6" s="2">
        <v>28</v>
      </c>
      <c r="E6" s="3" t="s">
        <v>48</v>
      </c>
      <c r="F6">
        <f t="shared" si="2"/>
        <v>1.35</v>
      </c>
      <c r="G6">
        <f t="shared" ref="G6:G41" si="4">F6*$D$29-$D$30</f>
        <v>9.046702028381419E-3</v>
      </c>
      <c r="H6">
        <f t="shared" si="3"/>
        <v>6227.3449999999993</v>
      </c>
      <c r="I6">
        <f t="shared" ref="I6:I41" si="5">H6*PI()/30*G6</f>
        <v>5.899589999999999</v>
      </c>
      <c r="J6">
        <f t="shared" si="0"/>
        <v>65.224875621890519</v>
      </c>
      <c r="K6">
        <f t="shared" si="1"/>
        <v>9.0467020283814197</v>
      </c>
    </row>
    <row r="7" spans="2:11" x14ac:dyDescent="0.15">
      <c r="B7" s="38"/>
      <c r="C7" s="13" t="s">
        <v>47</v>
      </c>
      <c r="D7" s="4">
        <v>26.6</v>
      </c>
      <c r="E7" s="5" t="s">
        <v>48</v>
      </c>
      <c r="F7">
        <f t="shared" si="2"/>
        <v>1.8</v>
      </c>
      <c r="G7">
        <f t="shared" si="4"/>
        <v>1.3570053042572132E-2</v>
      </c>
      <c r="H7">
        <f t="shared" si="3"/>
        <v>6158.517499999999</v>
      </c>
      <c r="I7">
        <f t="shared" si="5"/>
        <v>8.7515775000000016</v>
      </c>
      <c r="J7">
        <f t="shared" si="0"/>
        <v>72.566977611940302</v>
      </c>
      <c r="K7">
        <f t="shared" si="1"/>
        <v>13.570053042572132</v>
      </c>
    </row>
    <row r="8" spans="2:11" x14ac:dyDescent="0.15">
      <c r="B8" s="38"/>
      <c r="C8" s="13" t="s">
        <v>45</v>
      </c>
      <c r="D8" s="4">
        <v>3</v>
      </c>
      <c r="E8" s="5" t="s">
        <v>48</v>
      </c>
      <c r="F8">
        <f t="shared" si="2"/>
        <v>2.25</v>
      </c>
      <c r="G8">
        <f t="shared" si="4"/>
        <v>1.8093404056762841E-2</v>
      </c>
      <c r="H8">
        <f t="shared" si="3"/>
        <v>6089.6899999999987</v>
      </c>
      <c r="I8">
        <f t="shared" si="5"/>
        <v>11.538359999999999</v>
      </c>
      <c r="J8">
        <f t="shared" si="0"/>
        <v>76.539701492537304</v>
      </c>
      <c r="K8">
        <f t="shared" si="1"/>
        <v>18.093404056762843</v>
      </c>
    </row>
    <row r="9" spans="2:11" x14ac:dyDescent="0.15">
      <c r="B9" s="38"/>
      <c r="C9" s="13" t="s">
        <v>73</v>
      </c>
      <c r="D9" s="9">
        <v>11</v>
      </c>
      <c r="E9" s="15" t="s">
        <v>48</v>
      </c>
      <c r="F9">
        <f t="shared" si="2"/>
        <v>2.7</v>
      </c>
      <c r="G9">
        <f t="shared" si="4"/>
        <v>2.2616755070953551E-2</v>
      </c>
      <c r="H9">
        <f t="shared" si="3"/>
        <v>6020.8624999999984</v>
      </c>
      <c r="I9">
        <f t="shared" si="5"/>
        <v>14.259937499999996</v>
      </c>
      <c r="J9">
        <f t="shared" si="0"/>
        <v>78.827736318407929</v>
      </c>
      <c r="K9">
        <f t="shared" si="1"/>
        <v>22.616755070953552</v>
      </c>
    </row>
    <row r="10" spans="2:11" ht="14.25" thickBot="1" x14ac:dyDescent="0.2">
      <c r="B10" s="39"/>
      <c r="C10" s="14" t="s">
        <v>46</v>
      </c>
      <c r="D10" s="6">
        <v>45.4</v>
      </c>
      <c r="E10" s="7" t="s">
        <v>51</v>
      </c>
      <c r="F10">
        <f t="shared" si="2"/>
        <v>3.1500000000000004</v>
      </c>
      <c r="G10">
        <f t="shared" si="4"/>
        <v>2.714010608514426E-2</v>
      </c>
      <c r="H10">
        <f t="shared" si="3"/>
        <v>5952.034999999998</v>
      </c>
      <c r="I10">
        <f t="shared" si="5"/>
        <v>16.916309999999996</v>
      </c>
      <c r="J10">
        <f t="shared" si="0"/>
        <v>80.153091684434926</v>
      </c>
      <c r="K10">
        <f t="shared" si="1"/>
        <v>27.140106085144261</v>
      </c>
    </row>
    <row r="11" spans="2:11" ht="13.5" customHeight="1" thickBot="1" x14ac:dyDescent="0.2">
      <c r="F11">
        <f t="shared" si="2"/>
        <v>3.6000000000000005</v>
      </c>
      <c r="G11">
        <f t="shared" si="4"/>
        <v>3.166345709933497E-2</v>
      </c>
      <c r="H11">
        <f t="shared" si="3"/>
        <v>5883.2074999999977</v>
      </c>
      <c r="I11">
        <f t="shared" si="5"/>
        <v>19.507477499999993</v>
      </c>
      <c r="J11">
        <f t="shared" si="0"/>
        <v>80.876772388059663</v>
      </c>
      <c r="K11">
        <f t="shared" si="1"/>
        <v>31.66345709933497</v>
      </c>
    </row>
    <row r="12" spans="2:11" x14ac:dyDescent="0.15">
      <c r="B12" s="37" t="s">
        <v>60</v>
      </c>
      <c r="C12" s="12" t="s">
        <v>72</v>
      </c>
      <c r="D12" s="23">
        <v>950</v>
      </c>
      <c r="E12" s="3" t="s">
        <v>54</v>
      </c>
      <c r="F12">
        <f t="shared" si="2"/>
        <v>4.0500000000000007</v>
      </c>
      <c r="G12">
        <f t="shared" si="4"/>
        <v>3.6186808113525683E-2</v>
      </c>
      <c r="H12">
        <f t="shared" si="3"/>
        <v>5814.3799999999974</v>
      </c>
      <c r="I12">
        <f t="shared" si="5"/>
        <v>22.033439999999995</v>
      </c>
      <c r="J12">
        <f t="shared" si="0"/>
        <v>81.199336650082884</v>
      </c>
      <c r="K12">
        <f t="shared" si="1"/>
        <v>36.186808113525686</v>
      </c>
    </row>
    <row r="13" spans="2:11" x14ac:dyDescent="0.15">
      <c r="B13" s="38"/>
      <c r="C13" s="13" t="s">
        <v>53</v>
      </c>
      <c r="D13" s="4">
        <v>190</v>
      </c>
      <c r="E13" s="5" t="s">
        <v>23</v>
      </c>
      <c r="F13">
        <f t="shared" si="2"/>
        <v>4.5000000000000009</v>
      </c>
      <c r="G13">
        <f t="shared" si="4"/>
        <v>4.0710159127716396E-2</v>
      </c>
      <c r="H13">
        <f t="shared" si="3"/>
        <v>5745.5524999999971</v>
      </c>
      <c r="I13">
        <f t="shared" si="5"/>
        <v>24.494197499999991</v>
      </c>
      <c r="J13">
        <f t="shared" si="0"/>
        <v>81.241119402985035</v>
      </c>
      <c r="K13">
        <f t="shared" si="1"/>
        <v>40.710159127716395</v>
      </c>
    </row>
    <row r="14" spans="2:11" x14ac:dyDescent="0.15">
      <c r="B14" s="38"/>
      <c r="C14" s="13" t="s">
        <v>80</v>
      </c>
      <c r="D14" s="4">
        <v>17</v>
      </c>
      <c r="E14" s="5" t="s">
        <v>101</v>
      </c>
      <c r="F14">
        <f t="shared" si="2"/>
        <v>4.9500000000000011</v>
      </c>
      <c r="G14">
        <f t="shared" si="4"/>
        <v>4.5233510141907109E-2</v>
      </c>
      <c r="H14">
        <f t="shared" si="3"/>
        <v>5676.7249999999967</v>
      </c>
      <c r="I14">
        <f t="shared" si="5"/>
        <v>26.889749999999992</v>
      </c>
      <c r="J14">
        <f t="shared" si="0"/>
        <v>81.078697421980962</v>
      </c>
      <c r="K14">
        <f t="shared" si="1"/>
        <v>45.233510141907111</v>
      </c>
    </row>
    <row r="15" spans="2:11" x14ac:dyDescent="0.15">
      <c r="B15" s="38"/>
      <c r="C15" s="13" t="s">
        <v>55</v>
      </c>
      <c r="D15" s="4"/>
      <c r="E15" s="5" t="s">
        <v>136</v>
      </c>
      <c r="F15">
        <f t="shared" si="2"/>
        <v>5.4000000000000012</v>
      </c>
      <c r="G15">
        <f t="shared" si="4"/>
        <v>4.9756861156097822E-2</v>
      </c>
      <c r="H15">
        <f t="shared" si="3"/>
        <v>5607.8974999999964</v>
      </c>
      <c r="I15">
        <f t="shared" si="5"/>
        <v>29.220097499999991</v>
      </c>
      <c r="J15">
        <f t="shared" si="0"/>
        <v>80.763121890547211</v>
      </c>
      <c r="K15">
        <f t="shared" si="1"/>
        <v>49.75686115609782</v>
      </c>
    </row>
    <row r="16" spans="2:11" x14ac:dyDescent="0.15">
      <c r="B16" s="38"/>
      <c r="C16" s="13" t="s">
        <v>56</v>
      </c>
      <c r="D16" s="24">
        <v>0.45</v>
      </c>
      <c r="E16" s="5" t="s">
        <v>100</v>
      </c>
      <c r="F16">
        <f t="shared" si="2"/>
        <v>5.8500000000000014</v>
      </c>
      <c r="G16">
        <f t="shared" si="4"/>
        <v>5.4280212170288528E-2</v>
      </c>
      <c r="H16">
        <f t="shared" si="3"/>
        <v>5539.0699999999961</v>
      </c>
      <c r="I16">
        <f t="shared" si="5"/>
        <v>31.485239999999983</v>
      </c>
      <c r="J16">
        <f t="shared" si="0"/>
        <v>80.329735935706026</v>
      </c>
      <c r="K16">
        <f t="shared" si="1"/>
        <v>54.280212170288529</v>
      </c>
    </row>
    <row r="17" spans="1:11" x14ac:dyDescent="0.15">
      <c r="B17" s="38"/>
      <c r="C17" s="13" t="s">
        <v>57</v>
      </c>
      <c r="D17" s="24">
        <v>0.161</v>
      </c>
      <c r="E17" s="5" t="s">
        <v>21</v>
      </c>
      <c r="F17">
        <f t="shared" si="2"/>
        <v>6.3000000000000016</v>
      </c>
      <c r="G17">
        <f t="shared" si="4"/>
        <v>5.8803563184479241E-2</v>
      </c>
      <c r="H17">
        <f t="shared" si="3"/>
        <v>5470.2424999999957</v>
      </c>
      <c r="I17">
        <f t="shared" si="5"/>
        <v>33.68517749999998</v>
      </c>
      <c r="J17">
        <f t="shared" si="0"/>
        <v>79.803784648187559</v>
      </c>
      <c r="K17">
        <f t="shared" si="1"/>
        <v>58.803563184479238</v>
      </c>
    </row>
    <row r="18" spans="1:11" x14ac:dyDescent="0.15">
      <c r="B18" s="38"/>
      <c r="C18" s="13" t="s">
        <v>58</v>
      </c>
      <c r="D18" s="4"/>
      <c r="E18" s="5"/>
      <c r="F18">
        <f t="shared" si="2"/>
        <v>6.7500000000000018</v>
      </c>
      <c r="G18">
        <f t="shared" si="4"/>
        <v>6.3326914198669954E-2</v>
      </c>
      <c r="H18">
        <f t="shared" si="3"/>
        <v>5401.4149999999954</v>
      </c>
      <c r="I18">
        <f t="shared" si="5"/>
        <v>35.819909999999972</v>
      </c>
      <c r="J18">
        <f t="shared" si="0"/>
        <v>79.203781094527272</v>
      </c>
      <c r="K18">
        <f t="shared" si="1"/>
        <v>63.326914198669954</v>
      </c>
    </row>
    <row r="19" spans="1:11" x14ac:dyDescent="0.15">
      <c r="B19" s="38"/>
      <c r="C19" s="13" t="s">
        <v>66</v>
      </c>
      <c r="D19" s="9">
        <v>30</v>
      </c>
      <c r="E19" s="5"/>
      <c r="F19">
        <f t="shared" si="2"/>
        <v>7.200000000000002</v>
      </c>
      <c r="G19">
        <f t="shared" si="4"/>
        <v>6.7850265212860666E-2</v>
      </c>
      <c r="H19">
        <f t="shared" si="3"/>
        <v>5332.5874999999951</v>
      </c>
      <c r="I19">
        <f t="shared" si="5"/>
        <v>37.889437499999985</v>
      </c>
      <c r="J19">
        <f t="shared" si="0"/>
        <v>78.543610074626812</v>
      </c>
      <c r="K19">
        <f t="shared" si="1"/>
        <v>67.850265212860663</v>
      </c>
    </row>
    <row r="20" spans="1:11" x14ac:dyDescent="0.15">
      <c r="B20" s="38"/>
      <c r="C20" s="13" t="s">
        <v>81</v>
      </c>
      <c r="D20" s="4"/>
      <c r="E20" s="5" t="s">
        <v>59</v>
      </c>
      <c r="F20">
        <f t="shared" si="2"/>
        <v>7.6500000000000021</v>
      </c>
      <c r="G20">
        <f t="shared" si="4"/>
        <v>7.2373616227051379E-2</v>
      </c>
      <c r="H20">
        <f t="shared" si="3"/>
        <v>5263.7599999999948</v>
      </c>
      <c r="I20">
        <f t="shared" si="5"/>
        <v>39.893759999999972</v>
      </c>
      <c r="J20">
        <f t="shared" si="0"/>
        <v>77.833889376646098</v>
      </c>
      <c r="K20">
        <f t="shared" si="1"/>
        <v>72.373616227051386</v>
      </c>
    </row>
    <row r="21" spans="1:11" x14ac:dyDescent="0.15">
      <c r="B21" s="38"/>
      <c r="C21" s="13" t="s">
        <v>69</v>
      </c>
      <c r="D21" s="4"/>
      <c r="E21" s="5" t="s">
        <v>61</v>
      </c>
      <c r="F21">
        <f t="shared" si="2"/>
        <v>8.1000000000000014</v>
      </c>
      <c r="G21">
        <f t="shared" si="4"/>
        <v>7.6896967241242078E-2</v>
      </c>
      <c r="H21">
        <f t="shared" si="3"/>
        <v>5194.9324999999953</v>
      </c>
      <c r="I21">
        <f t="shared" si="5"/>
        <v>41.832877499999967</v>
      </c>
      <c r="J21">
        <f t="shared" si="0"/>
        <v>77.082877280265265</v>
      </c>
      <c r="K21">
        <f t="shared" si="1"/>
        <v>76.896967241242081</v>
      </c>
    </row>
    <row r="22" spans="1:11" ht="14.25" thickBot="1" x14ac:dyDescent="0.2">
      <c r="B22" s="39"/>
      <c r="C22" s="14" t="s">
        <v>68</v>
      </c>
      <c r="D22" s="8"/>
      <c r="E22" s="7" t="s">
        <v>63</v>
      </c>
      <c r="F22">
        <f t="shared" si="2"/>
        <v>8.5500000000000007</v>
      </c>
      <c r="G22">
        <f t="shared" si="4"/>
        <v>8.1420318255432778E-2</v>
      </c>
      <c r="H22">
        <f t="shared" si="3"/>
        <v>5126.1049999999959</v>
      </c>
      <c r="I22">
        <f t="shared" si="5"/>
        <v>43.70678999999997</v>
      </c>
      <c r="J22">
        <f t="shared" si="0"/>
        <v>76.297093479968524</v>
      </c>
      <c r="K22">
        <f t="shared" si="1"/>
        <v>81.420318255432775</v>
      </c>
    </row>
    <row r="23" spans="1:11" ht="14.25" thickBot="1" x14ac:dyDescent="0.2">
      <c r="F23">
        <f t="shared" si="2"/>
        <v>9</v>
      </c>
      <c r="G23">
        <f t="shared" si="4"/>
        <v>8.5943669269623491E-2</v>
      </c>
      <c r="H23">
        <f t="shared" si="3"/>
        <v>5057.2774999999956</v>
      </c>
      <c r="I23">
        <f t="shared" si="5"/>
        <v>45.51549749999996</v>
      </c>
      <c r="J23">
        <f t="shared" si="0"/>
        <v>75.481753731343218</v>
      </c>
      <c r="K23">
        <f t="shared" si="1"/>
        <v>85.943669269623484</v>
      </c>
    </row>
    <row r="24" spans="1:11" x14ac:dyDescent="0.15">
      <c r="B24" s="16"/>
      <c r="C24" s="12" t="s">
        <v>84</v>
      </c>
      <c r="D24" s="2">
        <v>10</v>
      </c>
      <c r="E24" s="3" t="s">
        <v>15</v>
      </c>
      <c r="F24">
        <f t="shared" si="2"/>
        <v>9.4499999999999993</v>
      </c>
      <c r="G24">
        <f t="shared" si="4"/>
        <v>9.046702028381419E-2</v>
      </c>
      <c r="H24">
        <f t="shared" si="3"/>
        <v>4988.4499999999962</v>
      </c>
      <c r="I24">
        <f t="shared" si="5"/>
        <v>47.258999999999965</v>
      </c>
      <c r="J24">
        <f t="shared" si="0"/>
        <v>74.641080312722053</v>
      </c>
      <c r="K24">
        <f t="shared" si="1"/>
        <v>90.467020283814193</v>
      </c>
    </row>
    <row r="25" spans="1:11" x14ac:dyDescent="0.15">
      <c r="B25" s="17"/>
      <c r="C25" s="18" t="s">
        <v>88</v>
      </c>
      <c r="D25" s="4">
        <f>D12*D24</f>
        <v>9500</v>
      </c>
      <c r="E25" s="5" t="s">
        <v>59</v>
      </c>
      <c r="F25">
        <f t="shared" si="2"/>
        <v>9.8999999999999986</v>
      </c>
      <c r="G25">
        <f t="shared" si="4"/>
        <v>9.4990371298004889E-2</v>
      </c>
      <c r="H25">
        <f t="shared" si="3"/>
        <v>4919.6224999999968</v>
      </c>
      <c r="I25">
        <f t="shared" si="5"/>
        <v>48.937297499999957</v>
      </c>
      <c r="J25">
        <f t="shared" si="0"/>
        <v>73.778527815468053</v>
      </c>
      <c r="K25">
        <f t="shared" si="1"/>
        <v>94.990371298004888</v>
      </c>
    </row>
    <row r="26" spans="1:11" x14ac:dyDescent="0.15">
      <c r="B26" s="17"/>
      <c r="C26" s="4"/>
      <c r="D26" s="4">
        <f>D25*(PI()/30)</f>
        <v>994.83767363676782</v>
      </c>
      <c r="E26" s="5" t="s">
        <v>89</v>
      </c>
      <c r="F26">
        <f t="shared" si="2"/>
        <v>10.349999999999998</v>
      </c>
      <c r="G26">
        <f t="shared" si="4"/>
        <v>9.9513722312195588E-2</v>
      </c>
      <c r="H26">
        <f t="shared" si="3"/>
        <v>4850.7949999999973</v>
      </c>
      <c r="I26">
        <f t="shared" si="5"/>
        <v>50.550389999999958</v>
      </c>
      <c r="J26">
        <f t="shared" si="0"/>
        <v>72.896950032446412</v>
      </c>
      <c r="K26">
        <f t="shared" si="1"/>
        <v>99.513722312195583</v>
      </c>
    </row>
    <row r="27" spans="1:11" x14ac:dyDescent="0.15">
      <c r="A27" t="s">
        <v>86</v>
      </c>
      <c r="B27" s="17"/>
      <c r="C27" s="18" t="s">
        <v>83</v>
      </c>
      <c r="D27" s="4">
        <f>(PI()/30)*((D17*D25^2)/(D24^2))</f>
        <v>15216.042218274362</v>
      </c>
      <c r="E27" s="5" t="s">
        <v>37</v>
      </c>
      <c r="F27">
        <f t="shared" si="2"/>
        <v>10.799999999999997</v>
      </c>
      <c r="G27">
        <f t="shared" si="4"/>
        <v>0.1040370733263863</v>
      </c>
      <c r="H27">
        <f t="shared" si="3"/>
        <v>4781.967499999997</v>
      </c>
      <c r="I27">
        <f t="shared" si="5"/>
        <v>52.098277499999959</v>
      </c>
      <c r="J27">
        <f t="shared" si="0"/>
        <v>71.998725124378069</v>
      </c>
      <c r="K27">
        <f t="shared" si="1"/>
        <v>104.03707332638631</v>
      </c>
    </row>
    <row r="28" spans="1:11" x14ac:dyDescent="0.15">
      <c r="B28" s="17"/>
      <c r="C28" s="18" t="s">
        <v>90</v>
      </c>
      <c r="D28" s="4">
        <f>D24/D26</f>
        <v>1.0051891142646022E-2</v>
      </c>
      <c r="E28" s="5" t="s">
        <v>93</v>
      </c>
      <c r="F28">
        <f t="shared" si="2"/>
        <v>11.249999999999996</v>
      </c>
      <c r="G28">
        <f t="shared" si="4"/>
        <v>0.108560424340577</v>
      </c>
      <c r="H28">
        <f t="shared" si="3"/>
        <v>4713.1399999999976</v>
      </c>
      <c r="I28">
        <f t="shared" si="5"/>
        <v>53.580959999999955</v>
      </c>
      <c r="J28">
        <f t="shared" si="0"/>
        <v>71.085850746268619</v>
      </c>
      <c r="K28">
        <f t="shared" si="1"/>
        <v>108.560424340577</v>
      </c>
    </row>
    <row r="29" spans="1:11" x14ac:dyDescent="0.15">
      <c r="B29" s="17"/>
      <c r="C29" s="18" t="s">
        <v>91</v>
      </c>
      <c r="D29" s="4">
        <f>D28</f>
        <v>1.0051891142646022E-2</v>
      </c>
      <c r="E29" s="5" t="s">
        <v>24</v>
      </c>
      <c r="F29">
        <f t="shared" si="2"/>
        <v>11.699999999999996</v>
      </c>
      <c r="G29">
        <f t="shared" si="4"/>
        <v>0.1130837753547677</v>
      </c>
      <c r="H29">
        <f t="shared" si="3"/>
        <v>4644.3124999999982</v>
      </c>
      <c r="I29">
        <f t="shared" si="5"/>
        <v>54.998437499999959</v>
      </c>
      <c r="J29">
        <f t="shared" si="0"/>
        <v>70.160017221584354</v>
      </c>
      <c r="K29">
        <f t="shared" si="1"/>
        <v>113.0837753547677</v>
      </c>
    </row>
    <row r="30" spans="1:11" ht="14.25" thickBot="1" x14ac:dyDescent="0.2">
      <c r="B30" s="19"/>
      <c r="C30" s="20" t="s">
        <v>94</v>
      </c>
      <c r="D30" s="6">
        <f>D29*D16</f>
        <v>4.5233510141907103E-3</v>
      </c>
      <c r="E30" s="7" t="s">
        <v>11</v>
      </c>
      <c r="F30">
        <f t="shared" si="2"/>
        <v>12.149999999999995</v>
      </c>
      <c r="G30">
        <f t="shared" si="4"/>
        <v>0.1176071263689584</v>
      </c>
      <c r="H30">
        <f t="shared" si="3"/>
        <v>4575.4849999999988</v>
      </c>
      <c r="I30">
        <f t="shared" si="5"/>
        <v>56.350709999999957</v>
      </c>
      <c r="J30">
        <f t="shared" si="0"/>
        <v>69.222664455500251</v>
      </c>
      <c r="K30">
        <f t="shared" si="1"/>
        <v>117.6071263689584</v>
      </c>
    </row>
    <row r="31" spans="1:11" ht="14.25" thickBot="1" x14ac:dyDescent="0.2">
      <c r="F31">
        <f t="shared" si="2"/>
        <v>12.599999999999994</v>
      </c>
      <c r="G31">
        <f t="shared" si="4"/>
        <v>0.12213047738314911</v>
      </c>
      <c r="H31">
        <f t="shared" si="3"/>
        <v>4506.6574999999984</v>
      </c>
      <c r="I31">
        <f t="shared" si="5"/>
        <v>57.637777499999956</v>
      </c>
      <c r="J31">
        <f t="shared" si="0"/>
        <v>68.275026652452013</v>
      </c>
      <c r="K31">
        <f t="shared" si="1"/>
        <v>122.13047738314911</v>
      </c>
    </row>
    <row r="32" spans="1:11" x14ac:dyDescent="0.15">
      <c r="B32" s="16"/>
      <c r="C32" s="21" t="s">
        <v>78</v>
      </c>
      <c r="D32" s="21">
        <f>Graph!M2</f>
        <v>6.7</v>
      </c>
      <c r="E32" s="3" t="s">
        <v>15</v>
      </c>
      <c r="F32">
        <f t="shared" si="2"/>
        <v>13.049999999999994</v>
      </c>
      <c r="G32">
        <f t="shared" si="4"/>
        <v>0.12665382839733982</v>
      </c>
      <c r="H32">
        <f t="shared" si="3"/>
        <v>4437.8299999999981</v>
      </c>
      <c r="I32">
        <f t="shared" si="5"/>
        <v>58.859639999999949</v>
      </c>
      <c r="J32">
        <f t="shared" si="0"/>
        <v>67.31816778178073</v>
      </c>
      <c r="K32">
        <f t="shared" si="1"/>
        <v>126.65382839733982</v>
      </c>
    </row>
    <row r="33" spans="1:11" x14ac:dyDescent="0.15">
      <c r="B33" s="17"/>
      <c r="C33" s="18" t="s">
        <v>79</v>
      </c>
      <c r="D33" s="4">
        <f>D12*D32</f>
        <v>6365</v>
      </c>
      <c r="E33" s="5" t="s">
        <v>59</v>
      </c>
      <c r="F33">
        <f t="shared" si="2"/>
        <v>13.499999999999993</v>
      </c>
      <c r="G33">
        <f t="shared" si="4"/>
        <v>0.13117717941153051</v>
      </c>
      <c r="H33">
        <f t="shared" si="3"/>
        <v>4369.0024999999987</v>
      </c>
      <c r="I33">
        <f t="shared" si="5"/>
        <v>60.016297499999951</v>
      </c>
      <c r="J33">
        <f t="shared" si="0"/>
        <v>66.353009950248733</v>
      </c>
      <c r="K33">
        <f t="shared" si="1"/>
        <v>131.17717941153052</v>
      </c>
    </row>
    <row r="34" spans="1:11" x14ac:dyDescent="0.15">
      <c r="B34" s="17"/>
      <c r="C34" s="4" t="s">
        <v>82</v>
      </c>
      <c r="D34" s="4" t="e">
        <f>D33/D20</f>
        <v>#DIV/0!</v>
      </c>
      <c r="E34" s="5"/>
      <c r="F34">
        <f t="shared" si="2"/>
        <v>13.949999999999992</v>
      </c>
      <c r="G34">
        <f t="shared" si="4"/>
        <v>0.13570053042572122</v>
      </c>
      <c r="H34">
        <f t="shared" si="3"/>
        <v>4300.1749999999984</v>
      </c>
      <c r="I34">
        <f t="shared" si="5"/>
        <v>61.107749999999939</v>
      </c>
      <c r="J34">
        <f t="shared" si="0"/>
        <v>65.380356283100596</v>
      </c>
      <c r="K34">
        <f t="shared" si="1"/>
        <v>135.70053042572121</v>
      </c>
    </row>
    <row r="35" spans="1:11" ht="14.25" thickBot="1" x14ac:dyDescent="0.2">
      <c r="A35" t="s">
        <v>86</v>
      </c>
      <c r="B35" s="19"/>
      <c r="C35" s="20" t="s">
        <v>85</v>
      </c>
      <c r="D35" s="6">
        <f>D32/D17</f>
        <v>41.614906832298139</v>
      </c>
      <c r="E35" s="7" t="s">
        <v>20</v>
      </c>
      <c r="F35">
        <f t="shared" si="2"/>
        <v>14.399999999999991</v>
      </c>
      <c r="G35">
        <f t="shared" si="4"/>
        <v>0.14022388143991191</v>
      </c>
      <c r="H35">
        <f t="shared" si="3"/>
        <v>4231.3474999999989</v>
      </c>
      <c r="I35">
        <f t="shared" si="5"/>
        <v>62.13399749999995</v>
      </c>
      <c r="J35">
        <f t="shared" si="0"/>
        <v>64.40090951492536</v>
      </c>
      <c r="K35">
        <f t="shared" si="1"/>
        <v>140.22388143991191</v>
      </c>
    </row>
    <row r="36" spans="1:11" x14ac:dyDescent="0.15">
      <c r="F36">
        <f t="shared" si="2"/>
        <v>14.849999999999991</v>
      </c>
      <c r="G36">
        <f t="shared" si="4"/>
        <v>0.14474723245410262</v>
      </c>
      <c r="H36">
        <f t="shared" si="3"/>
        <v>4162.5199999999986</v>
      </c>
      <c r="I36">
        <f t="shared" si="5"/>
        <v>63.095039999999941</v>
      </c>
      <c r="J36">
        <f t="shared" si="0"/>
        <v>63.415287200361803</v>
      </c>
      <c r="K36">
        <f t="shared" si="1"/>
        <v>144.74723245410263</v>
      </c>
    </row>
    <row r="37" spans="1:11" x14ac:dyDescent="0.15">
      <c r="C37" t="s">
        <v>104</v>
      </c>
      <c r="D37">
        <f>D17/(D29^2)</f>
        <v>1593.4202149880959</v>
      </c>
      <c r="F37">
        <f t="shared" si="2"/>
        <v>15.29999999999999</v>
      </c>
      <c r="G37">
        <f t="shared" si="4"/>
        <v>0.14927058346829333</v>
      </c>
      <c r="H37">
        <f t="shared" si="3"/>
        <v>4093.6924999999987</v>
      </c>
      <c r="I37">
        <f t="shared" si="5"/>
        <v>63.990877499999947</v>
      </c>
      <c r="J37">
        <f t="shared" si="0"/>
        <v>62.424034240561888</v>
      </c>
      <c r="K37">
        <f t="shared" si="1"/>
        <v>149.27058346829332</v>
      </c>
    </row>
    <row r="38" spans="1:11" x14ac:dyDescent="0.15">
      <c r="F38">
        <f t="shared" si="2"/>
        <v>15.749999999999989</v>
      </c>
      <c r="G38">
        <f t="shared" si="4"/>
        <v>0.15379393448248402</v>
      </c>
      <c r="H38">
        <f t="shared" si="3"/>
        <v>4024.8649999999993</v>
      </c>
      <c r="I38">
        <f t="shared" si="5"/>
        <v>64.821509999999947</v>
      </c>
      <c r="J38">
        <f t="shared" si="0"/>
        <v>61.427633262260116</v>
      </c>
      <c r="K38">
        <f t="shared" si="1"/>
        <v>153.79393448248402</v>
      </c>
    </row>
    <row r="39" spans="1:11" x14ac:dyDescent="0.15">
      <c r="F39">
        <f t="shared" si="2"/>
        <v>16.199999999999989</v>
      </c>
      <c r="G39">
        <f t="shared" si="4"/>
        <v>0.15831728549667473</v>
      </c>
      <c r="H39">
        <f t="shared" si="3"/>
        <v>3956.0374999999995</v>
      </c>
      <c r="I39">
        <f t="shared" si="5"/>
        <v>65.586937499999948</v>
      </c>
      <c r="J39">
        <f t="shared" si="0"/>
        <v>60.426513266998342</v>
      </c>
      <c r="K39">
        <f t="shared" si="1"/>
        <v>158.31728549667474</v>
      </c>
    </row>
    <row r="40" spans="1:11" x14ac:dyDescent="0.15">
      <c r="C40" t="s">
        <v>76</v>
      </c>
      <c r="D40">
        <f>SQRT(D16*D32/D17)</f>
        <v>4.3274366632608459</v>
      </c>
      <c r="E40" t="s">
        <v>20</v>
      </c>
      <c r="F40">
        <f t="shared" si="2"/>
        <v>16.649999999999988</v>
      </c>
      <c r="G40">
        <f t="shared" si="4"/>
        <v>0.16284063651086544</v>
      </c>
      <c r="H40">
        <f t="shared" si="3"/>
        <v>3887.2099999999996</v>
      </c>
      <c r="I40">
        <f t="shared" si="5"/>
        <v>66.287159999999943</v>
      </c>
      <c r="J40">
        <f t="shared" si="0"/>
        <v>59.421056877773282</v>
      </c>
      <c r="K40">
        <f t="shared" si="1"/>
        <v>162.84063651086544</v>
      </c>
    </row>
    <row r="41" spans="1:11" x14ac:dyDescent="0.15">
      <c r="C41" t="s">
        <v>17</v>
      </c>
      <c r="D41">
        <f>((D40-D16)/D40)^2*100</f>
        <v>80.283811857164295</v>
      </c>
      <c r="E41" t="s">
        <v>22</v>
      </c>
      <c r="F41">
        <v>17</v>
      </c>
      <c r="G41">
        <f t="shared" si="4"/>
        <v>0.16635879841079165</v>
      </c>
      <c r="H41">
        <f t="shared" si="3"/>
        <v>3833.677499999998</v>
      </c>
      <c r="I41">
        <f t="shared" si="5"/>
        <v>66.78669749999996</v>
      </c>
      <c r="J41">
        <f t="shared" si="0"/>
        <v>58.636257682177309</v>
      </c>
      <c r="K41">
        <f t="shared" si="1"/>
        <v>166.35879841079165</v>
      </c>
    </row>
    <row r="42" spans="1:11" x14ac:dyDescent="0.15">
      <c r="C42" t="s">
        <v>18</v>
      </c>
      <c r="D42">
        <f>D40</f>
        <v>4.3274366632608459</v>
      </c>
      <c r="E42" t="s">
        <v>20</v>
      </c>
    </row>
    <row r="43" spans="1:11" x14ac:dyDescent="0.15">
      <c r="C43" t="s">
        <v>19</v>
      </c>
      <c r="D43">
        <f>(D42-D16)*(D32-D42*D17)</f>
        <v>23.277348430100915</v>
      </c>
      <c r="E43" t="s">
        <v>23</v>
      </c>
    </row>
  </sheetData>
  <mergeCells count="4">
    <mergeCell ref="D2:E2"/>
    <mergeCell ref="D3:E3"/>
    <mergeCell ref="B6:B10"/>
    <mergeCell ref="B12:B22"/>
  </mergeCells>
  <phoneticPr fontId="1"/>
  <conditionalFormatting sqref="G1:G1048576">
    <cfRule type="cellIs" dxfId="2" priority="1" operator="between">
      <formula>0.125</formula>
      <formula>0.135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3"/>
  <sheetViews>
    <sheetView workbookViewId="0">
      <selection activeCell="J43" sqref="J43"/>
    </sheetView>
  </sheetViews>
  <sheetFormatPr defaultRowHeight="13.5" x14ac:dyDescent="0.15"/>
  <cols>
    <col min="2" max="2" width="2.875" bestFit="1" customWidth="1"/>
    <col min="3" max="3" width="19.625" customWidth="1"/>
    <col min="4" max="4" width="9" customWidth="1"/>
    <col min="5" max="5" width="18.25" customWidth="1"/>
    <col min="6" max="6" width="6.875" customWidth="1"/>
    <col min="7" max="7" width="12.875" customWidth="1"/>
    <col min="8" max="8" width="10.875" customWidth="1"/>
    <col min="9" max="9" width="7.75" customWidth="1"/>
    <col min="10" max="10" width="7.5" customWidth="1"/>
  </cols>
  <sheetData>
    <row r="2" spans="2:11" x14ac:dyDescent="0.15">
      <c r="C2" t="s">
        <v>49</v>
      </c>
      <c r="D2" s="36" t="s">
        <v>102</v>
      </c>
      <c r="E2" s="36"/>
      <c r="F2" t="s">
        <v>95</v>
      </c>
      <c r="G2" t="s">
        <v>99</v>
      </c>
      <c r="H2" t="s">
        <v>96</v>
      </c>
      <c r="I2" t="s">
        <v>97</v>
      </c>
      <c r="J2" t="s">
        <v>98</v>
      </c>
      <c r="K2" t="s">
        <v>137</v>
      </c>
    </row>
    <row r="3" spans="2:11" x14ac:dyDescent="0.15">
      <c r="C3" t="s">
        <v>43</v>
      </c>
      <c r="D3" s="36" t="s">
        <v>25</v>
      </c>
      <c r="E3" s="36"/>
      <c r="I3">
        <f>H3*PI()/30*G3</f>
        <v>0</v>
      </c>
      <c r="J3" t="e">
        <f>I3/($D$32*F3)*100</f>
        <v>#DIV/0!</v>
      </c>
      <c r="K3">
        <f>G3*1000</f>
        <v>0</v>
      </c>
    </row>
    <row r="4" spans="2:11" x14ac:dyDescent="0.15">
      <c r="C4" t="s">
        <v>75</v>
      </c>
      <c r="D4" s="10"/>
      <c r="F4">
        <f>D16</f>
        <v>0.6</v>
      </c>
      <c r="G4">
        <f>F4*$D$29-$D$30</f>
        <v>0</v>
      </c>
      <c r="H4">
        <f>D33</f>
        <v>5695</v>
      </c>
      <c r="I4">
        <f>H4*PI()/30*G4</f>
        <v>0</v>
      </c>
      <c r="J4">
        <f t="shared" ref="J4:J30" si="0">I4/($D$32*F4)*100</f>
        <v>0</v>
      </c>
      <c r="K4">
        <f t="shared" ref="K4:K30" si="1">G4*1000</f>
        <v>0</v>
      </c>
    </row>
    <row r="5" spans="2:11" ht="13.5" customHeight="1" thickBot="1" x14ac:dyDescent="0.2">
      <c r="F5">
        <f t="shared" ref="F5:F29" si="2">F4+$D$16</f>
        <v>1.2</v>
      </c>
      <c r="G5">
        <f>F5*$D$29-$D$30</f>
        <v>6.7406799427155674E-3</v>
      </c>
      <c r="H5">
        <f t="shared" ref="H5:H30" si="3">H4-$D$27*(G5-G4)</f>
        <v>5626.15</v>
      </c>
      <c r="I5">
        <f>H5*PI()/30*G5</f>
        <v>3.9713999999999996</v>
      </c>
      <c r="J5">
        <f t="shared" si="0"/>
        <v>49.395522388059703</v>
      </c>
      <c r="K5">
        <f t="shared" si="1"/>
        <v>6.740679942715567</v>
      </c>
    </row>
    <row r="6" spans="2:11" x14ac:dyDescent="0.15">
      <c r="B6" s="37" t="s">
        <v>52</v>
      </c>
      <c r="C6" s="12" t="s">
        <v>44</v>
      </c>
      <c r="D6" s="2"/>
      <c r="E6" s="3" t="s">
        <v>48</v>
      </c>
      <c r="F6">
        <f t="shared" si="2"/>
        <v>1.7999999999999998</v>
      </c>
      <c r="G6">
        <f t="shared" ref="G6:G30" si="4">F6*$D$29-$D$30</f>
        <v>1.3481359885431133E-2</v>
      </c>
      <c r="H6">
        <f t="shared" si="3"/>
        <v>5557.2999999999993</v>
      </c>
      <c r="I6">
        <f t="shared" ref="I6:I30" si="5">H6*PI()/30*G6</f>
        <v>7.8455999999999984</v>
      </c>
      <c r="J6">
        <f t="shared" si="0"/>
        <v>65.054726368159194</v>
      </c>
      <c r="K6">
        <f t="shared" si="1"/>
        <v>13.481359885431132</v>
      </c>
    </row>
    <row r="7" spans="2:11" x14ac:dyDescent="0.15">
      <c r="B7" s="38"/>
      <c r="C7" s="13" t="s">
        <v>47</v>
      </c>
      <c r="D7" s="4"/>
      <c r="E7" s="5" t="s">
        <v>48</v>
      </c>
      <c r="F7">
        <f t="shared" si="2"/>
        <v>2.4</v>
      </c>
      <c r="G7">
        <f t="shared" si="4"/>
        <v>2.0222039828146701E-2</v>
      </c>
      <c r="H7">
        <f t="shared" si="3"/>
        <v>5488.4499999999989</v>
      </c>
      <c r="I7">
        <f t="shared" si="5"/>
        <v>11.622599999999997</v>
      </c>
      <c r="J7">
        <f t="shared" si="0"/>
        <v>72.27985074626865</v>
      </c>
      <c r="K7">
        <f t="shared" si="1"/>
        <v>20.222039828146702</v>
      </c>
    </row>
    <row r="8" spans="2:11" x14ac:dyDescent="0.15">
      <c r="B8" s="38"/>
      <c r="C8" s="13" t="s">
        <v>45</v>
      </c>
      <c r="D8" s="4"/>
      <c r="E8" s="5" t="s">
        <v>48</v>
      </c>
      <c r="F8">
        <f t="shared" si="2"/>
        <v>3</v>
      </c>
      <c r="G8">
        <f t="shared" si="4"/>
        <v>2.6962719770862269E-2</v>
      </c>
      <c r="H8">
        <f t="shared" si="3"/>
        <v>5419.5999999999985</v>
      </c>
      <c r="I8">
        <f t="shared" si="5"/>
        <v>15.302399999999997</v>
      </c>
      <c r="J8">
        <f t="shared" si="0"/>
        <v>76.131343283582069</v>
      </c>
      <c r="K8">
        <f t="shared" si="1"/>
        <v>26.962719770862268</v>
      </c>
    </row>
    <row r="9" spans="2:11" x14ac:dyDescent="0.15">
      <c r="B9" s="38"/>
      <c r="C9" s="13" t="s">
        <v>73</v>
      </c>
      <c r="D9" s="9"/>
      <c r="E9" s="15" t="s">
        <v>48</v>
      </c>
      <c r="F9">
        <f t="shared" si="2"/>
        <v>3.6</v>
      </c>
      <c r="G9">
        <f t="shared" si="4"/>
        <v>3.3703399713577845E-2</v>
      </c>
      <c r="H9">
        <f t="shared" si="3"/>
        <v>5350.7499999999982</v>
      </c>
      <c r="I9">
        <f t="shared" si="5"/>
        <v>18.885000000000002</v>
      </c>
      <c r="J9">
        <f t="shared" si="0"/>
        <v>78.296019900497512</v>
      </c>
      <c r="K9">
        <f t="shared" si="1"/>
        <v>33.703399713577845</v>
      </c>
    </row>
    <row r="10" spans="2:11" ht="14.25" thickBot="1" x14ac:dyDescent="0.2">
      <c r="B10" s="39"/>
      <c r="C10" s="14" t="s">
        <v>46</v>
      </c>
      <c r="D10" s="6">
        <v>53</v>
      </c>
      <c r="E10" s="7" t="s">
        <v>51</v>
      </c>
      <c r="F10">
        <f t="shared" si="2"/>
        <v>4.2</v>
      </c>
      <c r="G10">
        <f t="shared" si="4"/>
        <v>4.0444079656293409E-2</v>
      </c>
      <c r="H10">
        <f t="shared" si="3"/>
        <v>5281.8999999999978</v>
      </c>
      <c r="I10">
        <f t="shared" si="5"/>
        <v>22.370399999999989</v>
      </c>
      <c r="J10">
        <f t="shared" si="0"/>
        <v>79.496801705756894</v>
      </c>
      <c r="K10">
        <f t="shared" si="1"/>
        <v>40.444079656293411</v>
      </c>
    </row>
    <row r="11" spans="2:11" ht="13.5" customHeight="1" thickBot="1" x14ac:dyDescent="0.2">
      <c r="F11">
        <f t="shared" si="2"/>
        <v>4.8</v>
      </c>
      <c r="G11">
        <f t="shared" si="4"/>
        <v>4.7184759599008974E-2</v>
      </c>
      <c r="H11">
        <f t="shared" si="3"/>
        <v>5213.0499999999975</v>
      </c>
      <c r="I11">
        <f t="shared" si="5"/>
        <v>25.758599999999987</v>
      </c>
      <c r="J11">
        <f t="shared" si="0"/>
        <v>80.095149253731307</v>
      </c>
      <c r="K11">
        <f t="shared" si="1"/>
        <v>47.184759599008977</v>
      </c>
    </row>
    <row r="12" spans="2:11" x14ac:dyDescent="0.15">
      <c r="B12" s="37" t="s">
        <v>60</v>
      </c>
      <c r="C12" s="12" t="s">
        <v>72</v>
      </c>
      <c r="D12" s="23">
        <v>850</v>
      </c>
      <c r="E12" s="3" t="s">
        <v>54</v>
      </c>
      <c r="F12">
        <f t="shared" si="2"/>
        <v>5.3999999999999995</v>
      </c>
      <c r="G12">
        <f t="shared" si="4"/>
        <v>5.3925439541724539E-2</v>
      </c>
      <c r="H12">
        <f t="shared" si="3"/>
        <v>5144.1999999999971</v>
      </c>
      <c r="I12">
        <f t="shared" si="5"/>
        <v>29.04959999999998</v>
      </c>
      <c r="J12">
        <f t="shared" si="0"/>
        <v>80.291873963515698</v>
      </c>
      <c r="K12">
        <f t="shared" si="1"/>
        <v>53.925439541724536</v>
      </c>
    </row>
    <row r="13" spans="2:11" x14ac:dyDescent="0.15">
      <c r="B13" s="38"/>
      <c r="C13" s="13" t="s">
        <v>53</v>
      </c>
      <c r="D13" s="4"/>
      <c r="E13" s="5" t="s">
        <v>23</v>
      </c>
      <c r="F13">
        <f t="shared" si="2"/>
        <v>5.9999999999999991</v>
      </c>
      <c r="G13">
        <f t="shared" si="4"/>
        <v>6.0666119484440097E-2</v>
      </c>
      <c r="H13">
        <f t="shared" si="3"/>
        <v>5075.3499999999976</v>
      </c>
      <c r="I13">
        <f t="shared" si="5"/>
        <v>32.24339999999998</v>
      </c>
      <c r="J13">
        <f t="shared" si="0"/>
        <v>80.207462686567126</v>
      </c>
      <c r="K13">
        <f t="shared" si="1"/>
        <v>60.666119484440095</v>
      </c>
    </row>
    <row r="14" spans="2:11" x14ac:dyDescent="0.15">
      <c r="B14" s="38"/>
      <c r="C14" s="13" t="s">
        <v>80</v>
      </c>
      <c r="D14" s="4">
        <v>16</v>
      </c>
      <c r="E14" s="5" t="s">
        <v>101</v>
      </c>
      <c r="F14">
        <f t="shared" si="2"/>
        <v>6.5999999999999988</v>
      </c>
      <c r="G14">
        <f t="shared" si="4"/>
        <v>6.7406799427155661E-2</v>
      </c>
      <c r="H14">
        <f t="shared" si="3"/>
        <v>5006.4999999999973</v>
      </c>
      <c r="I14">
        <f t="shared" si="5"/>
        <v>35.339999999999968</v>
      </c>
      <c r="J14">
        <f t="shared" si="0"/>
        <v>79.918588873812695</v>
      </c>
      <c r="K14">
        <f t="shared" si="1"/>
        <v>67.406799427155661</v>
      </c>
    </row>
    <row r="15" spans="2:11" x14ac:dyDescent="0.15">
      <c r="B15" s="38"/>
      <c r="C15" s="13" t="s">
        <v>55</v>
      </c>
      <c r="D15" s="4"/>
      <c r="E15" s="5" t="s">
        <v>136</v>
      </c>
      <c r="F15">
        <f t="shared" si="2"/>
        <v>7.1999999999999984</v>
      </c>
      <c r="G15">
        <f t="shared" si="4"/>
        <v>7.4147479369871219E-2</v>
      </c>
      <c r="H15">
        <f t="shared" si="3"/>
        <v>4937.6499999999978</v>
      </c>
      <c r="I15">
        <f t="shared" si="5"/>
        <v>38.339399999999976</v>
      </c>
      <c r="J15">
        <f t="shared" si="0"/>
        <v>79.476368159203943</v>
      </c>
      <c r="K15">
        <f t="shared" si="1"/>
        <v>74.14747936987122</v>
      </c>
    </row>
    <row r="16" spans="2:11" x14ac:dyDescent="0.15">
      <c r="B16" s="38"/>
      <c r="C16" s="13" t="s">
        <v>56</v>
      </c>
      <c r="D16" s="24">
        <v>0.6</v>
      </c>
      <c r="E16" s="5" t="s">
        <v>100</v>
      </c>
      <c r="F16">
        <f t="shared" si="2"/>
        <v>7.799999999999998</v>
      </c>
      <c r="G16">
        <f t="shared" si="4"/>
        <v>8.0888159312586791E-2</v>
      </c>
      <c r="H16">
        <f t="shared" si="3"/>
        <v>4868.7999999999975</v>
      </c>
      <c r="I16">
        <f t="shared" si="5"/>
        <v>41.24159999999997</v>
      </c>
      <c r="J16">
        <f t="shared" si="0"/>
        <v>78.916188289322577</v>
      </c>
      <c r="K16">
        <f t="shared" si="1"/>
        <v>80.888159312586794</v>
      </c>
    </row>
    <row r="17" spans="1:11" x14ac:dyDescent="0.15">
      <c r="B17" s="38"/>
      <c r="C17" s="13" t="s">
        <v>57</v>
      </c>
      <c r="D17" s="24">
        <v>0.13500000000000001</v>
      </c>
      <c r="E17" s="5" t="s">
        <v>21</v>
      </c>
      <c r="F17">
        <f t="shared" si="2"/>
        <v>8.3999999999999986</v>
      </c>
      <c r="G17">
        <f t="shared" si="4"/>
        <v>8.7628839255302363E-2</v>
      </c>
      <c r="H17">
        <f t="shared" si="3"/>
        <v>4799.9499999999971</v>
      </c>
      <c r="I17">
        <f t="shared" si="5"/>
        <v>44.046599999999962</v>
      </c>
      <c r="J17">
        <f t="shared" si="0"/>
        <v>78.263326226012737</v>
      </c>
      <c r="K17">
        <f t="shared" si="1"/>
        <v>87.628839255302367</v>
      </c>
    </row>
    <row r="18" spans="1:11" x14ac:dyDescent="0.15">
      <c r="B18" s="38"/>
      <c r="C18" s="13" t="s">
        <v>58</v>
      </c>
      <c r="D18" s="4"/>
      <c r="E18" s="5"/>
      <c r="F18">
        <f t="shared" si="2"/>
        <v>8.9999999999999982</v>
      </c>
      <c r="G18">
        <f t="shared" si="4"/>
        <v>9.436951919801792E-2</v>
      </c>
      <c r="H18">
        <f t="shared" si="3"/>
        <v>4731.0999999999976</v>
      </c>
      <c r="I18">
        <f t="shared" si="5"/>
        <v>46.754399999999961</v>
      </c>
      <c r="J18">
        <f t="shared" si="0"/>
        <v>77.536318407960152</v>
      </c>
      <c r="K18">
        <f t="shared" si="1"/>
        <v>94.369519198017926</v>
      </c>
    </row>
    <row r="19" spans="1:11" x14ac:dyDescent="0.15">
      <c r="B19" s="38"/>
      <c r="C19" s="13" t="s">
        <v>66</v>
      </c>
      <c r="D19" s="9">
        <v>24</v>
      </c>
      <c r="E19" s="5"/>
      <c r="F19">
        <f t="shared" si="2"/>
        <v>9.5999999999999979</v>
      </c>
      <c r="G19">
        <f t="shared" si="4"/>
        <v>0.10111019914073348</v>
      </c>
      <c r="H19">
        <f t="shared" si="3"/>
        <v>4662.2499999999982</v>
      </c>
      <c r="I19">
        <f t="shared" si="5"/>
        <v>49.364999999999966</v>
      </c>
      <c r="J19">
        <f t="shared" si="0"/>
        <v>76.749067164179067</v>
      </c>
      <c r="K19">
        <f t="shared" si="1"/>
        <v>101.11019914073349</v>
      </c>
    </row>
    <row r="20" spans="1:11" x14ac:dyDescent="0.15">
      <c r="B20" s="38"/>
      <c r="C20" s="13" t="s">
        <v>81</v>
      </c>
      <c r="D20" s="4"/>
      <c r="E20" s="5" t="s">
        <v>59</v>
      </c>
      <c r="F20">
        <f t="shared" si="2"/>
        <v>10.199999999999998</v>
      </c>
      <c r="G20">
        <f t="shared" si="4"/>
        <v>0.10785087908344905</v>
      </c>
      <c r="H20">
        <f t="shared" si="3"/>
        <v>4593.3999999999978</v>
      </c>
      <c r="I20">
        <f t="shared" si="5"/>
        <v>51.878399999999964</v>
      </c>
      <c r="J20">
        <f t="shared" si="0"/>
        <v>75.912203687445086</v>
      </c>
      <c r="K20">
        <f t="shared" si="1"/>
        <v>107.85087908344904</v>
      </c>
    </row>
    <row r="21" spans="1:11" x14ac:dyDescent="0.15">
      <c r="B21" s="38"/>
      <c r="C21" s="13" t="s">
        <v>69</v>
      </c>
      <c r="D21" s="4"/>
      <c r="E21" s="5" t="s">
        <v>61</v>
      </c>
      <c r="F21">
        <f t="shared" si="2"/>
        <v>10.799999999999997</v>
      </c>
      <c r="G21">
        <f t="shared" si="4"/>
        <v>0.11459155902616461</v>
      </c>
      <c r="H21">
        <f t="shared" si="3"/>
        <v>4524.5499999999984</v>
      </c>
      <c r="I21">
        <f t="shared" si="5"/>
        <v>54.294599999999967</v>
      </c>
      <c r="J21">
        <f t="shared" si="0"/>
        <v>75.033996683250379</v>
      </c>
      <c r="K21">
        <f t="shared" si="1"/>
        <v>114.5915590261646</v>
      </c>
    </row>
    <row r="22" spans="1:11" ht="14.25" thickBot="1" x14ac:dyDescent="0.2">
      <c r="B22" s="39"/>
      <c r="C22" s="14" t="s">
        <v>68</v>
      </c>
      <c r="D22" s="8"/>
      <c r="E22" s="7" t="s">
        <v>63</v>
      </c>
      <c r="F22">
        <f t="shared" si="2"/>
        <v>11.399999999999997</v>
      </c>
      <c r="G22">
        <f t="shared" si="4"/>
        <v>0.12133223896888018</v>
      </c>
      <c r="H22">
        <f t="shared" si="3"/>
        <v>4455.699999999998</v>
      </c>
      <c r="I22">
        <f t="shared" si="5"/>
        <v>56.613599999999963</v>
      </c>
      <c r="J22">
        <f t="shared" si="0"/>
        <v>74.120974076983472</v>
      </c>
      <c r="K22">
        <f t="shared" si="1"/>
        <v>121.33223896888018</v>
      </c>
    </row>
    <row r="23" spans="1:11" ht="14.25" thickBot="1" x14ac:dyDescent="0.2">
      <c r="F23">
        <f t="shared" si="2"/>
        <v>11.999999999999996</v>
      </c>
      <c r="G23">
        <f t="shared" si="4"/>
        <v>0.12807291891159575</v>
      </c>
      <c r="H23">
        <f t="shared" si="3"/>
        <v>4386.8499999999976</v>
      </c>
      <c r="I23">
        <f t="shared" si="5"/>
        <v>58.83539999999995</v>
      </c>
      <c r="J23">
        <f t="shared" si="0"/>
        <v>73.178358208955189</v>
      </c>
      <c r="K23">
        <f t="shared" si="1"/>
        <v>128.07291891159576</v>
      </c>
    </row>
    <row r="24" spans="1:11" x14ac:dyDescent="0.15">
      <c r="B24" s="16"/>
      <c r="C24" s="12" t="s">
        <v>84</v>
      </c>
      <c r="D24" s="2">
        <v>10</v>
      </c>
      <c r="E24" s="3" t="s">
        <v>15</v>
      </c>
      <c r="F24">
        <f t="shared" si="2"/>
        <v>12.599999999999996</v>
      </c>
      <c r="G24">
        <f t="shared" si="4"/>
        <v>0.1348135988543113</v>
      </c>
      <c r="H24">
        <f t="shared" si="3"/>
        <v>4317.9999999999982</v>
      </c>
      <c r="I24">
        <f t="shared" si="5"/>
        <v>60.959999999999958</v>
      </c>
      <c r="J24">
        <f t="shared" si="0"/>
        <v>72.2103766879886</v>
      </c>
      <c r="K24">
        <f t="shared" si="1"/>
        <v>134.81359885431129</v>
      </c>
    </row>
    <row r="25" spans="1:11" x14ac:dyDescent="0.15">
      <c r="B25" s="17"/>
      <c r="C25" s="18" t="s">
        <v>88</v>
      </c>
      <c r="D25" s="4">
        <f>D12*D24</f>
        <v>8500</v>
      </c>
      <c r="E25" s="5" t="s">
        <v>59</v>
      </c>
      <c r="F25">
        <f t="shared" si="2"/>
        <v>13.199999999999996</v>
      </c>
      <c r="G25">
        <f t="shared" si="4"/>
        <v>0.14155427879702687</v>
      </c>
      <c r="H25">
        <f t="shared" si="3"/>
        <v>4249.1499999999978</v>
      </c>
      <c r="I25">
        <f t="shared" si="5"/>
        <v>62.987399999999944</v>
      </c>
      <c r="J25">
        <f t="shared" si="0"/>
        <v>71.220488466757075</v>
      </c>
      <c r="K25">
        <f t="shared" si="1"/>
        <v>141.55427879702685</v>
      </c>
    </row>
    <row r="26" spans="1:11" x14ac:dyDescent="0.15">
      <c r="B26" s="17"/>
      <c r="C26" s="4"/>
      <c r="D26" s="4">
        <f>D25*(PI()/30)</f>
        <v>890.11791851710802</v>
      </c>
      <c r="E26" s="5" t="s">
        <v>89</v>
      </c>
      <c r="F26">
        <f t="shared" si="2"/>
        <v>13.799999999999995</v>
      </c>
      <c r="G26">
        <f t="shared" si="4"/>
        <v>0.14829495873974244</v>
      </c>
      <c r="H26">
        <f t="shared" si="3"/>
        <v>4180.2999999999975</v>
      </c>
      <c r="I26">
        <f t="shared" si="5"/>
        <v>64.917599999999936</v>
      </c>
      <c r="J26">
        <f t="shared" si="0"/>
        <v>70.211550940947404</v>
      </c>
      <c r="K26">
        <f t="shared" si="1"/>
        <v>148.29495873974244</v>
      </c>
    </row>
    <row r="27" spans="1:11" x14ac:dyDescent="0.15">
      <c r="A27" t="s">
        <v>86</v>
      </c>
      <c r="B27" s="17"/>
      <c r="C27" s="18" t="s">
        <v>83</v>
      </c>
      <c r="D27" s="4">
        <f>(PI()/30)*((D17*D25^2)/(D24^2))</f>
        <v>10214.103114983815</v>
      </c>
      <c r="E27" s="5" t="s">
        <v>37</v>
      </c>
      <c r="F27">
        <f t="shared" si="2"/>
        <v>14.399999999999995</v>
      </c>
      <c r="G27">
        <f t="shared" si="4"/>
        <v>0.15503563868245798</v>
      </c>
      <c r="H27">
        <f t="shared" si="3"/>
        <v>4111.449999999998</v>
      </c>
      <c r="I27">
        <f t="shared" si="5"/>
        <v>66.750599999999935</v>
      </c>
      <c r="J27">
        <f t="shared" si="0"/>
        <v>69.185945273631788</v>
      </c>
      <c r="K27">
        <f t="shared" si="1"/>
        <v>155.03563868245797</v>
      </c>
    </row>
    <row r="28" spans="1:11" x14ac:dyDescent="0.15">
      <c r="B28" s="17"/>
      <c r="C28" s="18" t="s">
        <v>90</v>
      </c>
      <c r="D28" s="4">
        <f>D24/D26</f>
        <v>1.1234466571192613E-2</v>
      </c>
      <c r="E28" s="5" t="s">
        <v>93</v>
      </c>
      <c r="F28">
        <f t="shared" si="2"/>
        <v>14.999999999999995</v>
      </c>
      <c r="G28">
        <f t="shared" si="4"/>
        <v>0.16177631862517355</v>
      </c>
      <c r="H28">
        <f t="shared" si="3"/>
        <v>4042.5999999999981</v>
      </c>
      <c r="I28">
        <f t="shared" si="5"/>
        <v>68.486399999999946</v>
      </c>
      <c r="J28">
        <f t="shared" si="0"/>
        <v>68.145671641791012</v>
      </c>
      <c r="K28">
        <f t="shared" si="1"/>
        <v>161.77631862517356</v>
      </c>
    </row>
    <row r="29" spans="1:11" x14ac:dyDescent="0.15">
      <c r="B29" s="17"/>
      <c r="C29" s="18" t="s">
        <v>91</v>
      </c>
      <c r="D29" s="4">
        <f>D28</f>
        <v>1.1234466571192613E-2</v>
      </c>
      <c r="E29" s="5" t="s">
        <v>24</v>
      </c>
      <c r="F29">
        <f t="shared" si="2"/>
        <v>15.599999999999994</v>
      </c>
      <c r="G29">
        <f t="shared" si="4"/>
        <v>0.16851699856788913</v>
      </c>
      <c r="H29">
        <f t="shared" si="3"/>
        <v>3973.7499999999982</v>
      </c>
      <c r="I29">
        <f t="shared" si="5"/>
        <v>70.124999999999943</v>
      </c>
      <c r="J29">
        <f t="shared" si="0"/>
        <v>67.092422502870235</v>
      </c>
      <c r="K29">
        <f t="shared" si="1"/>
        <v>168.51699856788912</v>
      </c>
    </row>
    <row r="30" spans="1:11" ht="14.25" thickBot="1" x14ac:dyDescent="0.2">
      <c r="B30" s="19"/>
      <c r="C30" s="20" t="s">
        <v>94</v>
      </c>
      <c r="D30" s="6">
        <f>D29*D16</f>
        <v>6.7406799427155674E-3</v>
      </c>
      <c r="E30" s="7" t="s">
        <v>11</v>
      </c>
      <c r="F30">
        <v>16</v>
      </c>
      <c r="G30">
        <f t="shared" si="4"/>
        <v>0.17301078519636623</v>
      </c>
      <c r="H30">
        <f t="shared" si="3"/>
        <v>3927.8499999999976</v>
      </c>
      <c r="I30">
        <f t="shared" si="5"/>
        <v>71.163399999999967</v>
      </c>
      <c r="J30">
        <f t="shared" si="0"/>
        <v>66.383768656716384</v>
      </c>
      <c r="K30">
        <f t="shared" si="1"/>
        <v>173.01078519636624</v>
      </c>
    </row>
    <row r="31" spans="1:11" ht="14.25" thickBot="1" x14ac:dyDescent="0.2"/>
    <row r="32" spans="1:11" x14ac:dyDescent="0.15">
      <c r="B32" s="16"/>
      <c r="C32" s="21" t="s">
        <v>78</v>
      </c>
      <c r="D32" s="21">
        <f>Graph!M2</f>
        <v>6.7</v>
      </c>
      <c r="E32" s="3" t="s">
        <v>15</v>
      </c>
    </row>
    <row r="33" spans="1:5" x14ac:dyDescent="0.15">
      <c r="B33" s="17"/>
      <c r="C33" s="18" t="s">
        <v>79</v>
      </c>
      <c r="D33" s="4">
        <f>D12*D32</f>
        <v>5695</v>
      </c>
      <c r="E33" s="5" t="s">
        <v>59</v>
      </c>
    </row>
    <row r="34" spans="1:5" x14ac:dyDescent="0.15">
      <c r="B34" s="17"/>
      <c r="C34" s="4" t="s">
        <v>82</v>
      </c>
      <c r="D34" s="4" t="e">
        <f>D33/D20</f>
        <v>#DIV/0!</v>
      </c>
      <c r="E34" s="5"/>
    </row>
    <row r="35" spans="1:5" ht="14.25" thickBot="1" x14ac:dyDescent="0.2">
      <c r="A35" t="s">
        <v>86</v>
      </c>
      <c r="B35" s="19"/>
      <c r="C35" s="20" t="s">
        <v>85</v>
      </c>
      <c r="D35" s="6">
        <f>D32/D17</f>
        <v>49.629629629629626</v>
      </c>
      <c r="E35" s="7" t="s">
        <v>20</v>
      </c>
    </row>
    <row r="37" spans="1:5" x14ac:dyDescent="0.15">
      <c r="C37" t="s">
        <v>104</v>
      </c>
      <c r="D37">
        <f>D17/(D29^2)</f>
        <v>1069.6183769680592</v>
      </c>
    </row>
    <row r="40" spans="1:5" x14ac:dyDescent="0.15">
      <c r="C40" t="s">
        <v>76</v>
      </c>
      <c r="D40">
        <f>SQRT(D16*D32/D17)</f>
        <v>5.456901847914966</v>
      </c>
      <c r="E40" t="s">
        <v>20</v>
      </c>
    </row>
    <row r="41" spans="1:5" x14ac:dyDescent="0.15">
      <c r="C41" t="s">
        <v>17</v>
      </c>
      <c r="D41">
        <f>((D40-D16)/D40)^2*100</f>
        <v>79.218455239745651</v>
      </c>
      <c r="E41" t="s">
        <v>22</v>
      </c>
    </row>
    <row r="42" spans="1:5" x14ac:dyDescent="0.15">
      <c r="C42" t="s">
        <v>18</v>
      </c>
      <c r="D42">
        <f>D40</f>
        <v>5.456901847914966</v>
      </c>
      <c r="E42" t="s">
        <v>20</v>
      </c>
    </row>
    <row r="43" spans="1:5" x14ac:dyDescent="0.15">
      <c r="C43" t="s">
        <v>19</v>
      </c>
      <c r="D43">
        <f>(D42-D16)*(D32-D42*D17)</f>
        <v>28.963251430711384</v>
      </c>
      <c r="E43" t="s">
        <v>23</v>
      </c>
    </row>
  </sheetData>
  <mergeCells count="4">
    <mergeCell ref="D2:E2"/>
    <mergeCell ref="D3:E3"/>
    <mergeCell ref="B6:B10"/>
    <mergeCell ref="B12:B22"/>
  </mergeCells>
  <phoneticPr fontId="1"/>
  <conditionalFormatting sqref="G1:G1048576">
    <cfRule type="cellIs" dxfId="1" priority="1" operator="between">
      <formula>0.125</formula>
      <formula>0.135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3"/>
  <sheetViews>
    <sheetView topLeftCell="A7" workbookViewId="0">
      <selection activeCell="D29" sqref="D29"/>
    </sheetView>
  </sheetViews>
  <sheetFormatPr defaultRowHeight="13.5" x14ac:dyDescent="0.15"/>
  <cols>
    <col min="2" max="2" width="2.875" bestFit="1" customWidth="1"/>
    <col min="3" max="3" width="19.625" customWidth="1"/>
    <col min="4" max="4" width="9" customWidth="1"/>
    <col min="5" max="5" width="18.25" customWidth="1"/>
    <col min="6" max="6" width="6.875" customWidth="1"/>
    <col min="7" max="7" width="12.875" customWidth="1"/>
    <col min="8" max="8" width="10.875" customWidth="1"/>
    <col min="9" max="9" width="7.75" customWidth="1"/>
    <col min="10" max="10" width="7.5" customWidth="1"/>
  </cols>
  <sheetData>
    <row r="2" spans="2:11" x14ac:dyDescent="0.15">
      <c r="C2" t="s">
        <v>49</v>
      </c>
      <c r="D2" s="36" t="s">
        <v>102</v>
      </c>
      <c r="E2" s="36"/>
      <c r="F2" t="s">
        <v>95</v>
      </c>
      <c r="G2" t="s">
        <v>99</v>
      </c>
      <c r="H2" t="s">
        <v>96</v>
      </c>
      <c r="I2" t="s">
        <v>97</v>
      </c>
      <c r="J2" t="s">
        <v>98</v>
      </c>
      <c r="K2" t="s">
        <v>137</v>
      </c>
    </row>
    <row r="3" spans="2:11" x14ac:dyDescent="0.15">
      <c r="C3" t="s">
        <v>43</v>
      </c>
      <c r="D3" s="36" t="s">
        <v>39</v>
      </c>
      <c r="E3" s="36"/>
      <c r="I3">
        <f>H3*PI()/30*G3</f>
        <v>0</v>
      </c>
      <c r="J3" t="e">
        <f>I3/($D$32*F3)*100</f>
        <v>#DIV/0!</v>
      </c>
      <c r="K3">
        <f>G3*1000</f>
        <v>0</v>
      </c>
    </row>
    <row r="4" spans="2:11" x14ac:dyDescent="0.15">
      <c r="C4" t="s">
        <v>75</v>
      </c>
      <c r="D4" s="10"/>
      <c r="F4">
        <f>D16</f>
        <v>0.55000000000000004</v>
      </c>
      <c r="G4">
        <f>F4*$D$29-$D$30</f>
        <v>0</v>
      </c>
      <c r="H4">
        <f>D33</f>
        <v>6097</v>
      </c>
      <c r="I4">
        <f>H4*PI()/30*G4</f>
        <v>0</v>
      </c>
      <c r="J4">
        <f t="shared" ref="J4:J25" si="0">I4/($D$32*F4)*100</f>
        <v>0</v>
      </c>
      <c r="K4">
        <f t="shared" ref="K4:K25" si="1">G4*1000</f>
        <v>0</v>
      </c>
    </row>
    <row r="5" spans="2:11" ht="13.5" customHeight="1" thickBot="1" x14ac:dyDescent="0.2">
      <c r="F5">
        <f t="shared" ref="F5:F24" si="2">F4+$D$16</f>
        <v>1.1000000000000001</v>
      </c>
      <c r="G5">
        <f>F5*$D$29-$D$30</f>
        <v>5.771552881354447E-3</v>
      </c>
      <c r="H5">
        <f t="shared" ref="H5:H25" si="3">H4-$D$27*(G5-G4)</f>
        <v>6006.91</v>
      </c>
      <c r="I5">
        <f>H5*PI()/30*G5</f>
        <v>3.6305500000000004</v>
      </c>
      <c r="J5">
        <f t="shared" si="0"/>
        <v>49.261194029850749</v>
      </c>
      <c r="K5">
        <f t="shared" si="1"/>
        <v>5.771552881354447</v>
      </c>
    </row>
    <row r="6" spans="2:11" x14ac:dyDescent="0.15">
      <c r="B6" s="37" t="s">
        <v>52</v>
      </c>
      <c r="C6" s="12" t="s">
        <v>44</v>
      </c>
      <c r="D6" s="2"/>
      <c r="E6" s="3" t="s">
        <v>48</v>
      </c>
      <c r="F6">
        <f t="shared" si="2"/>
        <v>1.6500000000000001</v>
      </c>
      <c r="G6">
        <f>F6*$D$29-$D$30</f>
        <v>1.1543105762708894E-2</v>
      </c>
      <c r="H6">
        <f t="shared" si="3"/>
        <v>5916.82</v>
      </c>
      <c r="I6">
        <f t="shared" ref="I6:I25" si="4">H6*PI()/30*G6</f>
        <v>7.1522000000000006</v>
      </c>
      <c r="J6">
        <f t="shared" si="0"/>
        <v>64.696517412935322</v>
      </c>
      <c r="K6">
        <f t="shared" si="1"/>
        <v>11.543105762708894</v>
      </c>
    </row>
    <row r="7" spans="2:11" x14ac:dyDescent="0.15">
      <c r="B7" s="38"/>
      <c r="C7" s="13" t="s">
        <v>47</v>
      </c>
      <c r="D7" s="4"/>
      <c r="E7" s="5" t="s">
        <v>48</v>
      </c>
      <c r="F7">
        <f t="shared" si="2"/>
        <v>2.2000000000000002</v>
      </c>
      <c r="G7">
        <f t="shared" ref="G7:G25" si="5">F7*$D$29-$D$30</f>
        <v>1.7314658644063341E-2</v>
      </c>
      <c r="H7">
        <f t="shared" si="3"/>
        <v>5826.73</v>
      </c>
      <c r="I7">
        <f t="shared" si="4"/>
        <v>10.564950000000001</v>
      </c>
      <c r="J7">
        <f t="shared" si="0"/>
        <v>71.675373134328353</v>
      </c>
      <c r="K7">
        <f t="shared" si="1"/>
        <v>17.314658644063343</v>
      </c>
    </row>
    <row r="8" spans="2:11" x14ac:dyDescent="0.15">
      <c r="B8" s="38"/>
      <c r="C8" s="13" t="s">
        <v>45</v>
      </c>
      <c r="D8" s="4"/>
      <c r="E8" s="5" t="s">
        <v>48</v>
      </c>
      <c r="F8">
        <f t="shared" si="2"/>
        <v>2.75</v>
      </c>
      <c r="G8">
        <f t="shared" si="5"/>
        <v>2.3086211525417788E-2</v>
      </c>
      <c r="H8">
        <f t="shared" si="3"/>
        <v>5736.6399999999994</v>
      </c>
      <c r="I8">
        <f t="shared" si="4"/>
        <v>13.8688</v>
      </c>
      <c r="J8">
        <f t="shared" si="0"/>
        <v>75.271641791044772</v>
      </c>
      <c r="K8">
        <f t="shared" si="1"/>
        <v>23.086211525417788</v>
      </c>
    </row>
    <row r="9" spans="2:11" x14ac:dyDescent="0.15">
      <c r="B9" s="38"/>
      <c r="C9" s="13" t="s">
        <v>73</v>
      </c>
      <c r="D9" s="9"/>
      <c r="E9" s="15" t="s">
        <v>48</v>
      </c>
      <c r="F9">
        <f t="shared" si="2"/>
        <v>3.3</v>
      </c>
      <c r="G9">
        <f t="shared" si="5"/>
        <v>2.8857764406772235E-2</v>
      </c>
      <c r="H9">
        <f t="shared" si="3"/>
        <v>5646.5499999999993</v>
      </c>
      <c r="I9">
        <f t="shared" si="4"/>
        <v>17.063749999999999</v>
      </c>
      <c r="J9">
        <f t="shared" si="0"/>
        <v>77.176616915422883</v>
      </c>
      <c r="K9">
        <f t="shared" si="1"/>
        <v>28.857764406772233</v>
      </c>
    </row>
    <row r="10" spans="2:11" ht="14.25" thickBot="1" x14ac:dyDescent="0.2">
      <c r="B10" s="39"/>
      <c r="C10" s="14" t="s">
        <v>46</v>
      </c>
      <c r="D10" s="6"/>
      <c r="E10" s="7" t="s">
        <v>51</v>
      </c>
      <c r="F10">
        <f t="shared" si="2"/>
        <v>3.8499999999999996</v>
      </c>
      <c r="G10">
        <f t="shared" si="5"/>
        <v>3.4629317288126675E-2</v>
      </c>
      <c r="H10">
        <f t="shared" si="3"/>
        <v>5556.4599999999991</v>
      </c>
      <c r="I10">
        <f t="shared" si="4"/>
        <v>20.149799999999995</v>
      </c>
      <c r="J10">
        <f t="shared" si="0"/>
        <v>78.115138592750526</v>
      </c>
      <c r="K10">
        <f t="shared" si="1"/>
        <v>34.629317288126678</v>
      </c>
    </row>
    <row r="11" spans="2:11" ht="13.5" customHeight="1" thickBot="1" x14ac:dyDescent="0.2">
      <c r="F11">
        <f t="shared" si="2"/>
        <v>4.3999999999999995</v>
      </c>
      <c r="G11">
        <f t="shared" si="5"/>
        <v>4.0400870169481122E-2</v>
      </c>
      <c r="H11">
        <f t="shared" si="3"/>
        <v>5466.369999999999</v>
      </c>
      <c r="I11">
        <f t="shared" si="4"/>
        <v>23.126949999999997</v>
      </c>
      <c r="J11">
        <f t="shared" si="0"/>
        <v>78.449626865671647</v>
      </c>
      <c r="K11">
        <f t="shared" si="1"/>
        <v>40.400870169481124</v>
      </c>
    </row>
    <row r="12" spans="2:11" x14ac:dyDescent="0.15">
      <c r="B12" s="37" t="s">
        <v>60</v>
      </c>
      <c r="C12" s="12" t="s">
        <v>72</v>
      </c>
      <c r="D12" s="23">
        <v>910</v>
      </c>
      <c r="E12" s="3" t="s">
        <v>54</v>
      </c>
      <c r="F12">
        <f t="shared" si="2"/>
        <v>4.9499999999999993</v>
      </c>
      <c r="G12">
        <f t="shared" si="5"/>
        <v>4.6172423050835569E-2</v>
      </c>
      <c r="H12">
        <f t="shared" si="3"/>
        <v>5376.2799999999988</v>
      </c>
      <c r="I12">
        <f t="shared" si="4"/>
        <v>25.995199999999993</v>
      </c>
      <c r="J12">
        <f t="shared" si="0"/>
        <v>78.381426202321705</v>
      </c>
      <c r="K12">
        <f t="shared" si="1"/>
        <v>46.172423050835569</v>
      </c>
    </row>
    <row r="13" spans="2:11" x14ac:dyDescent="0.15">
      <c r="B13" s="38"/>
      <c r="C13" s="13" t="s">
        <v>53</v>
      </c>
      <c r="D13" s="4"/>
      <c r="E13" s="5" t="s">
        <v>23</v>
      </c>
      <c r="F13">
        <f t="shared" si="2"/>
        <v>5.4999999999999991</v>
      </c>
      <c r="G13">
        <f t="shared" si="5"/>
        <v>5.1943975932190009E-2</v>
      </c>
      <c r="H13">
        <f t="shared" si="3"/>
        <v>5286.1899999999987</v>
      </c>
      <c r="I13">
        <f t="shared" si="4"/>
        <v>28.754549999999991</v>
      </c>
      <c r="J13">
        <f t="shared" si="0"/>
        <v>78.031343283582075</v>
      </c>
      <c r="K13">
        <f t="shared" si="1"/>
        <v>51.943975932190007</v>
      </c>
    </row>
    <row r="14" spans="2:11" x14ac:dyDescent="0.15">
      <c r="B14" s="38"/>
      <c r="C14" s="13" t="s">
        <v>80</v>
      </c>
      <c r="D14" s="4">
        <v>12</v>
      </c>
      <c r="E14" s="5" t="s">
        <v>101</v>
      </c>
      <c r="F14">
        <f t="shared" si="2"/>
        <v>6.0499999999999989</v>
      </c>
      <c r="G14">
        <f t="shared" si="5"/>
        <v>5.7715528813544456E-2</v>
      </c>
      <c r="H14">
        <f t="shared" si="3"/>
        <v>5196.0999999999985</v>
      </c>
      <c r="I14">
        <f t="shared" si="4"/>
        <v>31.40499999999999</v>
      </c>
      <c r="J14">
        <f t="shared" si="0"/>
        <v>77.476255088195373</v>
      </c>
      <c r="K14">
        <f t="shared" si="1"/>
        <v>57.715528813544459</v>
      </c>
    </row>
    <row r="15" spans="2:11" x14ac:dyDescent="0.15">
      <c r="B15" s="38"/>
      <c r="C15" s="13" t="s">
        <v>55</v>
      </c>
      <c r="D15" s="4"/>
      <c r="E15" s="5" t="s">
        <v>136</v>
      </c>
      <c r="F15">
        <f t="shared" si="2"/>
        <v>6.5999999999999988</v>
      </c>
      <c r="G15">
        <f t="shared" si="5"/>
        <v>6.3487081694898903E-2</v>
      </c>
      <c r="H15">
        <f t="shared" si="3"/>
        <v>5106.0099999999984</v>
      </c>
      <c r="I15">
        <f t="shared" si="4"/>
        <v>33.946549999999988</v>
      </c>
      <c r="J15">
        <f t="shared" si="0"/>
        <v>76.767412935323364</v>
      </c>
      <c r="K15">
        <f t="shared" si="1"/>
        <v>63.487081694898905</v>
      </c>
    </row>
    <row r="16" spans="2:11" x14ac:dyDescent="0.15">
      <c r="B16" s="38"/>
      <c r="C16" s="13" t="s">
        <v>56</v>
      </c>
      <c r="D16" s="24">
        <v>0.55000000000000004</v>
      </c>
      <c r="E16" s="5" t="s">
        <v>100</v>
      </c>
      <c r="F16">
        <f t="shared" si="2"/>
        <v>7.1499999999999986</v>
      </c>
      <c r="G16">
        <f t="shared" si="5"/>
        <v>6.925863457625335E-2</v>
      </c>
      <c r="H16">
        <f t="shared" si="3"/>
        <v>5015.9199999999983</v>
      </c>
      <c r="I16">
        <f t="shared" si="4"/>
        <v>36.379199999999983</v>
      </c>
      <c r="J16">
        <f t="shared" si="0"/>
        <v>75.940298507462657</v>
      </c>
      <c r="K16">
        <f t="shared" si="1"/>
        <v>69.258634576253357</v>
      </c>
    </row>
    <row r="17" spans="1:11" x14ac:dyDescent="0.15">
      <c r="B17" s="38"/>
      <c r="C17" s="13" t="s">
        <v>57</v>
      </c>
      <c r="D17" s="24">
        <v>0.18</v>
      </c>
      <c r="E17" s="5" t="s">
        <v>21</v>
      </c>
      <c r="F17">
        <f t="shared" si="2"/>
        <v>7.6999999999999984</v>
      </c>
      <c r="G17">
        <f t="shared" si="5"/>
        <v>7.5030187457607797E-2</v>
      </c>
      <c r="H17">
        <f t="shared" si="3"/>
        <v>4925.8299999999981</v>
      </c>
      <c r="I17">
        <f t="shared" si="4"/>
        <v>38.702949999999987</v>
      </c>
      <c r="J17">
        <f t="shared" si="0"/>
        <v>75.020255863539433</v>
      </c>
      <c r="K17">
        <f t="shared" si="1"/>
        <v>75.030187457607795</v>
      </c>
    </row>
    <row r="18" spans="1:11" x14ac:dyDescent="0.15">
      <c r="B18" s="38"/>
      <c r="C18" s="13" t="s">
        <v>58</v>
      </c>
      <c r="D18" s="4"/>
      <c r="E18" s="5"/>
      <c r="F18">
        <f t="shared" si="2"/>
        <v>8.2499999999999982</v>
      </c>
      <c r="G18">
        <f t="shared" si="5"/>
        <v>8.080174033896223E-2</v>
      </c>
      <c r="H18">
        <f t="shared" si="3"/>
        <v>4835.739999999998</v>
      </c>
      <c r="I18">
        <f t="shared" si="4"/>
        <v>40.917799999999978</v>
      </c>
      <c r="J18">
        <f t="shared" si="0"/>
        <v>74.025870646766151</v>
      </c>
      <c r="K18">
        <f t="shared" si="1"/>
        <v>80.801740338962233</v>
      </c>
    </row>
    <row r="19" spans="1:11" x14ac:dyDescent="0.15">
      <c r="B19" s="38"/>
      <c r="C19" s="13" t="s">
        <v>66</v>
      </c>
      <c r="D19" s="9">
        <v>32</v>
      </c>
      <c r="E19" s="5"/>
      <c r="F19">
        <f t="shared" si="2"/>
        <v>8.7999999999999989</v>
      </c>
      <c r="G19">
        <f t="shared" si="5"/>
        <v>8.6573293220316691E-2</v>
      </c>
      <c r="H19">
        <f t="shared" si="3"/>
        <v>4745.6499999999978</v>
      </c>
      <c r="I19">
        <f t="shared" si="4"/>
        <v>43.023749999999978</v>
      </c>
      <c r="J19">
        <f t="shared" si="0"/>
        <v>72.971082089552212</v>
      </c>
      <c r="K19">
        <f t="shared" si="1"/>
        <v>86.573293220316685</v>
      </c>
    </row>
    <row r="20" spans="1:11" x14ac:dyDescent="0.15">
      <c r="B20" s="38"/>
      <c r="C20" s="13" t="s">
        <v>81</v>
      </c>
      <c r="D20" s="4"/>
      <c r="E20" s="5" t="s">
        <v>59</v>
      </c>
      <c r="F20">
        <f t="shared" si="2"/>
        <v>9.35</v>
      </c>
      <c r="G20">
        <f t="shared" si="5"/>
        <v>9.2344846101671138E-2</v>
      </c>
      <c r="H20">
        <f t="shared" si="3"/>
        <v>4655.5599999999977</v>
      </c>
      <c r="I20">
        <f t="shared" si="4"/>
        <v>45.02079999999998</v>
      </c>
      <c r="J20">
        <f t="shared" si="0"/>
        <v>71.866549604916557</v>
      </c>
      <c r="K20">
        <f t="shared" si="1"/>
        <v>92.344846101671138</v>
      </c>
    </row>
    <row r="21" spans="1:11" x14ac:dyDescent="0.15">
      <c r="B21" s="38"/>
      <c r="C21" s="13" t="s">
        <v>69</v>
      </c>
      <c r="D21" s="4"/>
      <c r="E21" s="5" t="s">
        <v>61</v>
      </c>
      <c r="F21">
        <f t="shared" si="2"/>
        <v>9.9</v>
      </c>
      <c r="G21">
        <f t="shared" si="5"/>
        <v>9.8116398983025599E-2</v>
      </c>
      <c r="H21">
        <f t="shared" si="3"/>
        <v>4565.4699999999975</v>
      </c>
      <c r="I21">
        <f t="shared" si="4"/>
        <v>46.908949999999983</v>
      </c>
      <c r="J21">
        <f t="shared" si="0"/>
        <v>70.720563847429503</v>
      </c>
      <c r="K21">
        <f t="shared" si="1"/>
        <v>98.116398983025604</v>
      </c>
    </row>
    <row r="22" spans="1:11" ht="14.25" thickBot="1" x14ac:dyDescent="0.2">
      <c r="B22" s="39"/>
      <c r="C22" s="14" t="s">
        <v>68</v>
      </c>
      <c r="D22" s="8"/>
      <c r="E22" s="7" t="s">
        <v>63</v>
      </c>
      <c r="F22">
        <f t="shared" si="2"/>
        <v>10.450000000000001</v>
      </c>
      <c r="G22">
        <f t="shared" si="5"/>
        <v>0.10388795186438005</v>
      </c>
      <c r="H22">
        <f t="shared" si="3"/>
        <v>4475.3799999999974</v>
      </c>
      <c r="I22">
        <f t="shared" si="4"/>
        <v>48.688199999999981</v>
      </c>
      <c r="J22">
        <f t="shared" si="0"/>
        <v>69.539670070699088</v>
      </c>
      <c r="K22">
        <f t="shared" si="1"/>
        <v>103.88795186438004</v>
      </c>
    </row>
    <row r="23" spans="1:11" ht="14.25" thickBot="1" x14ac:dyDescent="0.2">
      <c r="F23">
        <f t="shared" si="2"/>
        <v>11.000000000000002</v>
      </c>
      <c r="G23">
        <f t="shared" si="5"/>
        <v>0.10965950474573451</v>
      </c>
      <c r="H23">
        <f t="shared" si="3"/>
        <v>4385.2899999999972</v>
      </c>
      <c r="I23">
        <f t="shared" si="4"/>
        <v>50.358549999999987</v>
      </c>
      <c r="J23">
        <f t="shared" si="0"/>
        <v>68.329104477611907</v>
      </c>
      <c r="K23">
        <f t="shared" si="1"/>
        <v>109.65950474573451</v>
      </c>
    </row>
    <row r="24" spans="1:11" x14ac:dyDescent="0.15">
      <c r="B24" s="16"/>
      <c r="C24" s="12" t="s">
        <v>84</v>
      </c>
      <c r="D24" s="2">
        <v>10</v>
      </c>
      <c r="E24" s="3" t="s">
        <v>15</v>
      </c>
      <c r="F24">
        <f t="shared" si="2"/>
        <v>11.550000000000002</v>
      </c>
      <c r="G24">
        <f t="shared" si="5"/>
        <v>0.11543105762708895</v>
      </c>
      <c r="H24">
        <f t="shared" si="3"/>
        <v>4295.1999999999971</v>
      </c>
      <c r="I24">
        <f t="shared" si="4"/>
        <v>51.91999999999998</v>
      </c>
      <c r="J24">
        <f t="shared" si="0"/>
        <v>67.093105899076008</v>
      </c>
      <c r="K24">
        <f t="shared" si="1"/>
        <v>115.43105762708895</v>
      </c>
    </row>
    <row r="25" spans="1:11" x14ac:dyDescent="0.15">
      <c r="B25" s="17"/>
      <c r="C25" s="18" t="s">
        <v>88</v>
      </c>
      <c r="D25" s="4">
        <f>D12*D24</f>
        <v>9100</v>
      </c>
      <c r="E25" s="5" t="s">
        <v>59</v>
      </c>
      <c r="F25">
        <v>12</v>
      </c>
      <c r="G25">
        <f t="shared" si="5"/>
        <v>0.12015323725728802</v>
      </c>
      <c r="H25">
        <f t="shared" si="3"/>
        <v>4221.4899999999971</v>
      </c>
      <c r="I25">
        <f t="shared" si="4"/>
        <v>53.116549999999961</v>
      </c>
      <c r="J25">
        <f t="shared" si="0"/>
        <v>66.065360696517359</v>
      </c>
      <c r="K25">
        <f t="shared" si="1"/>
        <v>120.15323725728803</v>
      </c>
    </row>
    <row r="26" spans="1:11" x14ac:dyDescent="0.15">
      <c r="B26" s="17"/>
      <c r="C26" s="4"/>
      <c r="D26" s="4">
        <f>D25*(PI()/30)</f>
        <v>952.9497715889039</v>
      </c>
      <c r="E26" s="5" t="s">
        <v>89</v>
      </c>
    </row>
    <row r="27" spans="1:11" x14ac:dyDescent="0.15">
      <c r="A27" t="s">
        <v>86</v>
      </c>
      <c r="B27" s="17"/>
      <c r="C27" s="18" t="s">
        <v>83</v>
      </c>
      <c r="D27" s="4">
        <f>(PI()/30)*((D17*D25^2)/(D24^2))</f>
        <v>15609.317258626246</v>
      </c>
      <c r="E27" s="5" t="s">
        <v>37</v>
      </c>
    </row>
    <row r="28" spans="1:11" x14ac:dyDescent="0.15">
      <c r="B28" s="17"/>
      <c r="C28" s="18" t="s">
        <v>90</v>
      </c>
      <c r="D28" s="4">
        <f>D24/D26</f>
        <v>1.049373251155354E-2</v>
      </c>
      <c r="E28" s="5" t="s">
        <v>158</v>
      </c>
    </row>
    <row r="29" spans="1:11" x14ac:dyDescent="0.15">
      <c r="B29" s="17"/>
      <c r="C29" s="18" t="s">
        <v>91</v>
      </c>
      <c r="D29" s="4">
        <f>D28</f>
        <v>1.049373251155354E-2</v>
      </c>
      <c r="E29" s="5" t="s">
        <v>24</v>
      </c>
    </row>
    <row r="30" spans="1:11" ht="14.25" thickBot="1" x14ac:dyDescent="0.2">
      <c r="B30" s="19"/>
      <c r="C30" s="20" t="s">
        <v>94</v>
      </c>
      <c r="D30" s="6">
        <f>D29*D16</f>
        <v>5.771552881354447E-3</v>
      </c>
      <c r="E30" s="7" t="s">
        <v>11</v>
      </c>
    </row>
    <row r="31" spans="1:11" ht="14.25" thickBot="1" x14ac:dyDescent="0.2"/>
    <row r="32" spans="1:11" x14ac:dyDescent="0.15">
      <c r="B32" s="16"/>
      <c r="C32" s="21" t="s">
        <v>78</v>
      </c>
      <c r="D32" s="21">
        <f>Graph!M2</f>
        <v>6.7</v>
      </c>
      <c r="E32" s="3" t="s">
        <v>15</v>
      </c>
    </row>
    <row r="33" spans="1:5" x14ac:dyDescent="0.15">
      <c r="B33" s="17"/>
      <c r="C33" s="18" t="s">
        <v>79</v>
      </c>
      <c r="D33" s="4">
        <f>D12*D32</f>
        <v>6097</v>
      </c>
      <c r="E33" s="5" t="s">
        <v>59</v>
      </c>
    </row>
    <row r="34" spans="1:5" x14ac:dyDescent="0.15">
      <c r="B34" s="17"/>
      <c r="C34" s="4" t="s">
        <v>82</v>
      </c>
      <c r="D34" s="4" t="e">
        <f>D33/D20</f>
        <v>#DIV/0!</v>
      </c>
      <c r="E34" s="5"/>
    </row>
    <row r="35" spans="1:5" ht="14.25" thickBot="1" x14ac:dyDescent="0.2">
      <c r="A35" t="s">
        <v>86</v>
      </c>
      <c r="B35" s="19"/>
      <c r="C35" s="20" t="s">
        <v>85</v>
      </c>
      <c r="D35" s="6">
        <f>D32/D17</f>
        <v>37.222222222222221</v>
      </c>
      <c r="E35" s="7" t="s">
        <v>20</v>
      </c>
    </row>
    <row r="37" spans="1:5" x14ac:dyDescent="0.15">
      <c r="C37" t="s">
        <v>104</v>
      </c>
      <c r="D37">
        <f>D17/(D29^2)</f>
        <v>1634.6038809084191</v>
      </c>
    </row>
    <row r="40" spans="1:5" x14ac:dyDescent="0.15">
      <c r="C40" t="s">
        <v>76</v>
      </c>
      <c r="D40">
        <f>SQRT(D16*D32/D17)</f>
        <v>4.5246239868327427</v>
      </c>
      <c r="E40" t="s">
        <v>20</v>
      </c>
    </row>
    <row r="41" spans="1:5" x14ac:dyDescent="0.15">
      <c r="C41" t="s">
        <v>17</v>
      </c>
      <c r="D41">
        <f>((D40-D16)/D40)^2*100</f>
        <v>77.166199473734522</v>
      </c>
      <c r="E41" t="s">
        <v>22</v>
      </c>
    </row>
    <row r="42" spans="1:5" x14ac:dyDescent="0.15">
      <c r="C42" t="s">
        <v>18</v>
      </c>
      <c r="D42">
        <f>D40</f>
        <v>4.5246239868327427</v>
      </c>
      <c r="E42" t="s">
        <v>20</v>
      </c>
    </row>
    <row r="43" spans="1:5" x14ac:dyDescent="0.15">
      <c r="C43" t="s">
        <v>19</v>
      </c>
      <c r="D43">
        <f>(D42-D16)*(D32-D42*D17)</f>
        <v>23.392918486475818</v>
      </c>
      <c r="E43" t="s">
        <v>23</v>
      </c>
    </row>
  </sheetData>
  <mergeCells count="4">
    <mergeCell ref="D2:E2"/>
    <mergeCell ref="D3:E3"/>
    <mergeCell ref="B6:B10"/>
    <mergeCell ref="B12:B22"/>
  </mergeCells>
  <phoneticPr fontId="1"/>
  <conditionalFormatting sqref="G1:G1048576">
    <cfRule type="cellIs" dxfId="0" priority="1" operator="between">
      <formula>0.125</formula>
      <formula>0.135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2:P24"/>
  <sheetViews>
    <sheetView zoomScaleNormal="100" workbookViewId="0">
      <selection activeCell="K42" sqref="K42"/>
    </sheetView>
  </sheetViews>
  <sheetFormatPr defaultRowHeight="13.5" x14ac:dyDescent="0.15"/>
  <sheetData>
    <row r="2" spans="12:14" x14ac:dyDescent="0.15">
      <c r="L2" t="s">
        <v>143</v>
      </c>
      <c r="M2" s="11">
        <v>6.7</v>
      </c>
      <c r="N2" t="s">
        <v>15</v>
      </c>
    </row>
    <row r="22" spans="15:16" x14ac:dyDescent="0.15">
      <c r="O22">
        <v>163</v>
      </c>
      <c r="P22" t="s">
        <v>222</v>
      </c>
    </row>
    <row r="23" spans="15:16" x14ac:dyDescent="0.15">
      <c r="O23">
        <f>O22*60</f>
        <v>9780</v>
      </c>
    </row>
    <row r="24" spans="15:16" x14ac:dyDescent="0.15">
      <c r="O24">
        <f>O23/2</f>
        <v>4890</v>
      </c>
      <c r="P24" t="s">
        <v>223</v>
      </c>
    </row>
  </sheetData>
  <phoneticPr fontId="1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44"/>
  <sheetViews>
    <sheetView zoomScale="80" zoomScaleNormal="80" workbookViewId="0">
      <selection activeCell="D11" sqref="D11"/>
    </sheetView>
  </sheetViews>
  <sheetFormatPr defaultRowHeight="13.5" x14ac:dyDescent="0.15"/>
  <cols>
    <col min="1" max="1" width="23.5" customWidth="1"/>
    <col min="2" max="2" width="17.375" bestFit="1" customWidth="1"/>
    <col min="3" max="3" width="4.875" bestFit="1" customWidth="1"/>
    <col min="4" max="4" width="5.625" bestFit="1" customWidth="1"/>
    <col min="5" max="5" width="11.5" customWidth="1"/>
    <col min="6" max="6" width="8.25" customWidth="1"/>
    <col min="7" max="7" width="4.875" bestFit="1" customWidth="1"/>
    <col min="8" max="8" width="17.5" bestFit="1" customWidth="1"/>
    <col min="9" max="9" width="8" customWidth="1"/>
    <col min="10" max="10" width="12.375" customWidth="1"/>
    <col min="11" max="11" width="14.625" customWidth="1"/>
    <col min="12" max="12" width="9" customWidth="1"/>
    <col min="13" max="13" width="10.375" customWidth="1"/>
    <col min="14" max="14" width="12.125" customWidth="1"/>
    <col min="15" max="15" width="13.25" customWidth="1"/>
    <col min="16" max="16" width="4.875" bestFit="1" customWidth="1"/>
    <col min="17" max="17" width="13.125" customWidth="1"/>
    <col min="18" max="18" width="6.5" customWidth="1"/>
    <col min="19" max="19" width="5.625" bestFit="1" customWidth="1"/>
  </cols>
  <sheetData>
    <row r="3" spans="1:20" x14ac:dyDescent="0.15">
      <c r="C3" t="s">
        <v>109</v>
      </c>
      <c r="D3" t="s">
        <v>46</v>
      </c>
      <c r="F3" t="s">
        <v>106</v>
      </c>
      <c r="G3" s="25" t="s">
        <v>208</v>
      </c>
      <c r="H3" s="25" t="s">
        <v>172</v>
      </c>
      <c r="I3" s="28" t="s">
        <v>211</v>
      </c>
      <c r="J3" s="25" t="s">
        <v>173</v>
      </c>
      <c r="K3" s="25" t="s">
        <v>202</v>
      </c>
      <c r="L3" s="25" t="s">
        <v>201</v>
      </c>
      <c r="M3" s="25" t="s">
        <v>182</v>
      </c>
      <c r="N3" s="25" t="s">
        <v>168</v>
      </c>
      <c r="O3" s="25" t="s">
        <v>170</v>
      </c>
      <c r="P3" s="28" t="s">
        <v>207</v>
      </c>
      <c r="Q3" s="25" t="s">
        <v>192</v>
      </c>
      <c r="R3" s="25" t="s">
        <v>209</v>
      </c>
    </row>
    <row r="4" spans="1:20" x14ac:dyDescent="0.15">
      <c r="A4" t="s">
        <v>107</v>
      </c>
      <c r="B4" t="s">
        <v>210</v>
      </c>
      <c r="C4">
        <v>20</v>
      </c>
      <c r="D4">
        <v>19</v>
      </c>
      <c r="E4" t="s">
        <v>127</v>
      </c>
      <c r="F4" t="s">
        <v>122</v>
      </c>
      <c r="G4" s="27" t="s">
        <v>179</v>
      </c>
      <c r="H4" s="27" t="s">
        <v>197</v>
      </c>
      <c r="I4" s="27" t="s">
        <v>167</v>
      </c>
      <c r="J4" s="25" t="s">
        <v>183</v>
      </c>
      <c r="K4" s="25" t="s">
        <v>212</v>
      </c>
      <c r="L4" s="25" t="s">
        <v>183</v>
      </c>
      <c r="M4" s="25" t="s">
        <v>183</v>
      </c>
      <c r="N4" s="25" t="s">
        <v>183</v>
      </c>
      <c r="O4" s="25" t="s">
        <v>183</v>
      </c>
      <c r="P4" s="25" t="s">
        <v>167</v>
      </c>
      <c r="Q4" s="25" t="s">
        <v>183</v>
      </c>
      <c r="R4">
        <v>2000</v>
      </c>
    </row>
    <row r="5" spans="1:20" x14ac:dyDescent="0.15">
      <c r="A5" t="s">
        <v>102</v>
      </c>
      <c r="B5" t="s">
        <v>108</v>
      </c>
      <c r="C5">
        <v>25</v>
      </c>
      <c r="D5">
        <v>27.3</v>
      </c>
      <c r="E5" t="s">
        <v>126</v>
      </c>
      <c r="F5" t="s">
        <v>110</v>
      </c>
      <c r="G5" s="25" t="s">
        <v>179</v>
      </c>
      <c r="H5" s="25" t="s">
        <v>180</v>
      </c>
      <c r="I5" s="25" t="s">
        <v>183</v>
      </c>
      <c r="J5" s="25" t="s">
        <v>178</v>
      </c>
      <c r="K5" s="25" t="s">
        <v>206</v>
      </c>
      <c r="L5" s="25" t="s">
        <v>186</v>
      </c>
      <c r="M5" s="25" t="s">
        <v>177</v>
      </c>
      <c r="N5" s="25" t="s">
        <v>184</v>
      </c>
      <c r="O5" s="25" t="s">
        <v>185</v>
      </c>
      <c r="P5" s="25" t="s">
        <v>183</v>
      </c>
      <c r="Q5" s="25" t="s">
        <v>191</v>
      </c>
      <c r="R5">
        <v>3000</v>
      </c>
    </row>
    <row r="6" spans="1:20" x14ac:dyDescent="0.15">
      <c r="A6" t="s">
        <v>113</v>
      </c>
      <c r="B6" t="s">
        <v>118</v>
      </c>
      <c r="C6">
        <v>20</v>
      </c>
      <c r="D6">
        <v>21</v>
      </c>
      <c r="E6" t="s">
        <v>125</v>
      </c>
      <c r="F6" t="s">
        <v>128</v>
      </c>
      <c r="G6" s="25" t="s">
        <v>167</v>
      </c>
      <c r="H6" s="25" t="s">
        <v>175</v>
      </c>
      <c r="I6" s="25" t="s">
        <v>167</v>
      </c>
      <c r="J6" s="25" t="s">
        <v>181</v>
      </c>
      <c r="K6" s="25" t="s">
        <v>171</v>
      </c>
      <c r="L6" s="25" t="s">
        <v>174</v>
      </c>
      <c r="M6" s="25" t="s">
        <v>183</v>
      </c>
      <c r="N6" s="26" t="s">
        <v>169</v>
      </c>
      <c r="O6" s="25" t="s">
        <v>198</v>
      </c>
      <c r="P6" s="25" t="s">
        <v>167</v>
      </c>
      <c r="Q6" s="25" t="s">
        <v>190</v>
      </c>
      <c r="R6">
        <v>5800</v>
      </c>
    </row>
    <row r="7" spans="1:20" x14ac:dyDescent="0.15">
      <c r="A7" t="s">
        <v>119</v>
      </c>
      <c r="B7" t="s">
        <v>120</v>
      </c>
      <c r="C7">
        <v>15</v>
      </c>
      <c r="D7">
        <v>17</v>
      </c>
      <c r="F7" t="s">
        <v>123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</row>
    <row r="8" spans="1:20" x14ac:dyDescent="0.15">
      <c r="A8" t="s">
        <v>119</v>
      </c>
      <c r="B8" t="s">
        <v>121</v>
      </c>
      <c r="C8">
        <v>25</v>
      </c>
      <c r="D8">
        <v>21</v>
      </c>
      <c r="F8" t="s">
        <v>105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</row>
    <row r="9" spans="1:20" x14ac:dyDescent="0.15">
      <c r="A9" t="s">
        <v>217</v>
      </c>
      <c r="B9" t="s">
        <v>134</v>
      </c>
      <c r="C9">
        <v>18</v>
      </c>
      <c r="D9">
        <v>19</v>
      </c>
      <c r="E9" t="s">
        <v>124</v>
      </c>
      <c r="F9" t="s">
        <v>123</v>
      </c>
      <c r="G9" s="25" t="s">
        <v>179</v>
      </c>
      <c r="H9" s="25" t="s">
        <v>175</v>
      </c>
      <c r="I9" s="25" t="s">
        <v>167</v>
      </c>
      <c r="J9" s="25" t="s">
        <v>193</v>
      </c>
      <c r="K9" s="25" t="s">
        <v>215</v>
      </c>
      <c r="L9" s="25" t="s">
        <v>214</v>
      </c>
      <c r="M9" s="25" t="s">
        <v>183</v>
      </c>
      <c r="N9" s="25" t="s">
        <v>183</v>
      </c>
      <c r="O9" s="25" t="s">
        <v>196</v>
      </c>
      <c r="P9" s="25" t="s">
        <v>183</v>
      </c>
      <c r="Q9" s="25" t="s">
        <v>221</v>
      </c>
      <c r="R9">
        <v>1760</v>
      </c>
    </row>
    <row r="10" spans="1:20" x14ac:dyDescent="0.15">
      <c r="A10" t="s">
        <v>217</v>
      </c>
      <c r="B10" t="s">
        <v>213</v>
      </c>
      <c r="C10">
        <v>25</v>
      </c>
      <c r="D10">
        <v>22</v>
      </c>
      <c r="E10" t="s">
        <v>124</v>
      </c>
      <c r="F10" t="s">
        <v>105</v>
      </c>
      <c r="G10" s="25" t="s">
        <v>179</v>
      </c>
      <c r="H10" s="25" t="s">
        <v>175</v>
      </c>
      <c r="I10" s="25" t="s">
        <v>167</v>
      </c>
      <c r="J10" s="25" t="s">
        <v>193</v>
      </c>
      <c r="K10" s="25" t="s">
        <v>215</v>
      </c>
      <c r="L10" s="25" t="s">
        <v>220</v>
      </c>
      <c r="M10" s="25" t="s">
        <v>183</v>
      </c>
      <c r="N10" s="25" t="s">
        <v>183</v>
      </c>
      <c r="O10" s="25" t="s">
        <v>196</v>
      </c>
      <c r="P10" s="25" t="s">
        <v>183</v>
      </c>
      <c r="Q10" s="25" t="s">
        <v>221</v>
      </c>
      <c r="R10">
        <v>1890</v>
      </c>
    </row>
    <row r="11" spans="1:20" s="29" customFormat="1" x14ac:dyDescent="0.15">
      <c r="A11" s="29" t="s">
        <v>216</v>
      </c>
      <c r="B11" s="29" t="s">
        <v>129</v>
      </c>
      <c r="C11" s="29">
        <v>18</v>
      </c>
      <c r="D11" s="29">
        <v>19</v>
      </c>
      <c r="E11" s="29" t="s">
        <v>124</v>
      </c>
      <c r="F11" s="29" t="s">
        <v>123</v>
      </c>
      <c r="G11" s="30" t="s">
        <v>179</v>
      </c>
      <c r="H11" s="30" t="s">
        <v>175</v>
      </c>
      <c r="I11" s="30" t="s">
        <v>167</v>
      </c>
      <c r="J11" s="30" t="s">
        <v>193</v>
      </c>
      <c r="K11" s="30" t="s">
        <v>219</v>
      </c>
      <c r="L11" s="30" t="s">
        <v>214</v>
      </c>
      <c r="M11" s="30" t="s">
        <v>183</v>
      </c>
      <c r="N11" s="30" t="s">
        <v>183</v>
      </c>
      <c r="O11" s="30" t="s">
        <v>218</v>
      </c>
      <c r="P11" s="30" t="s">
        <v>183</v>
      </c>
      <c r="Q11" s="30" t="s">
        <v>221</v>
      </c>
      <c r="R11" s="29">
        <v>1580</v>
      </c>
      <c r="S11" s="29">
        <v>980</v>
      </c>
      <c r="T11" s="29">
        <f>R11*2+S11</f>
        <v>4140</v>
      </c>
    </row>
    <row r="12" spans="1:20" s="31" customFormat="1" x14ac:dyDescent="0.15">
      <c r="A12" s="31" t="s">
        <v>132</v>
      </c>
      <c r="B12" s="31" t="s">
        <v>130</v>
      </c>
      <c r="C12" s="31">
        <v>20</v>
      </c>
      <c r="D12" s="31">
        <v>16</v>
      </c>
      <c r="E12" s="31" t="s">
        <v>131</v>
      </c>
      <c r="F12" s="32" t="s">
        <v>199</v>
      </c>
      <c r="G12" s="33" t="s">
        <v>167</v>
      </c>
      <c r="H12" s="33" t="s">
        <v>197</v>
      </c>
      <c r="I12" s="33" t="s">
        <v>167</v>
      </c>
      <c r="J12" s="33" t="s">
        <v>193</v>
      </c>
      <c r="K12" s="33" t="s">
        <v>205</v>
      </c>
      <c r="L12" s="33" t="s">
        <v>183</v>
      </c>
      <c r="M12" s="33" t="s">
        <v>183</v>
      </c>
      <c r="N12" s="34" t="s">
        <v>169</v>
      </c>
      <c r="O12" s="33" t="s">
        <v>198</v>
      </c>
      <c r="P12" s="33" t="s">
        <v>167</v>
      </c>
      <c r="Q12" s="33" t="s">
        <v>190</v>
      </c>
      <c r="R12" s="31">
        <v>5700</v>
      </c>
      <c r="S12" s="31">
        <v>2200</v>
      </c>
      <c r="T12" s="31">
        <f>R12*2+S12</f>
        <v>13600</v>
      </c>
    </row>
    <row r="13" spans="1:20" x14ac:dyDescent="0.15">
      <c r="A13" t="s">
        <v>50</v>
      </c>
      <c r="B13" t="s">
        <v>133</v>
      </c>
      <c r="C13">
        <v>20</v>
      </c>
      <c r="D13">
        <v>16</v>
      </c>
      <c r="E13" t="s">
        <v>131</v>
      </c>
      <c r="F13" s="22" t="s">
        <v>200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>
        <v>5240</v>
      </c>
    </row>
    <row r="14" spans="1:20" x14ac:dyDescent="0.15">
      <c r="A14" t="s">
        <v>112</v>
      </c>
      <c r="B14" t="s">
        <v>111</v>
      </c>
      <c r="C14">
        <v>25</v>
      </c>
      <c r="D14">
        <v>17</v>
      </c>
      <c r="E14" t="s">
        <v>114</v>
      </c>
      <c r="F14" t="s">
        <v>117</v>
      </c>
      <c r="G14" s="25" t="s">
        <v>167</v>
      </c>
      <c r="H14" s="25" t="s">
        <v>188</v>
      </c>
      <c r="I14" s="25" t="s">
        <v>183</v>
      </c>
      <c r="J14" s="25" t="s">
        <v>193</v>
      </c>
      <c r="K14" s="25" t="s">
        <v>204</v>
      </c>
      <c r="L14" s="25" t="s">
        <v>194</v>
      </c>
      <c r="M14" s="25" t="s">
        <v>187</v>
      </c>
      <c r="N14" s="25" t="s">
        <v>195</v>
      </c>
      <c r="O14" s="25" t="s">
        <v>196</v>
      </c>
      <c r="P14" s="25" t="s">
        <v>167</v>
      </c>
      <c r="Q14" s="25" t="s">
        <v>189</v>
      </c>
      <c r="R14">
        <v>7200</v>
      </c>
    </row>
    <row r="15" spans="1:20" x14ac:dyDescent="0.15">
      <c r="B15" t="s">
        <v>176</v>
      </c>
      <c r="G15" s="25" t="s">
        <v>167</v>
      </c>
      <c r="H15" s="25" t="s">
        <v>177</v>
      </c>
      <c r="I15" s="25" t="s">
        <v>167</v>
      </c>
      <c r="J15" s="25" t="s">
        <v>183</v>
      </c>
      <c r="K15" s="25" t="s">
        <v>203</v>
      </c>
      <c r="L15" s="25" t="s">
        <v>183</v>
      </c>
      <c r="M15" s="25" t="s">
        <v>183</v>
      </c>
      <c r="N15" s="25" t="s">
        <v>183</v>
      </c>
      <c r="O15" s="25" t="s">
        <v>183</v>
      </c>
      <c r="P15" s="25" t="s">
        <v>167</v>
      </c>
      <c r="Q15" s="25" t="s">
        <v>221</v>
      </c>
      <c r="R15">
        <v>4980</v>
      </c>
    </row>
    <row r="16" spans="1:20" x14ac:dyDescent="0.15">
      <c r="B16" t="s">
        <v>115</v>
      </c>
      <c r="C16">
        <v>20</v>
      </c>
      <c r="D16">
        <v>20</v>
      </c>
      <c r="E16" t="s">
        <v>116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>
        <v>15593</v>
      </c>
    </row>
    <row r="19" spans="2:6" x14ac:dyDescent="0.15">
      <c r="B19" t="s">
        <v>42</v>
      </c>
      <c r="D19">
        <v>59.7</v>
      </c>
      <c r="F19">
        <f>D19-18</f>
        <v>41.7</v>
      </c>
    </row>
    <row r="20" spans="2:6" x14ac:dyDescent="0.15">
      <c r="B20" t="s">
        <v>64</v>
      </c>
      <c r="D20">
        <v>55</v>
      </c>
      <c r="F20">
        <f>D20-18</f>
        <v>37</v>
      </c>
    </row>
    <row r="21" spans="2:6" x14ac:dyDescent="0.15">
      <c r="D21">
        <v>45.4</v>
      </c>
      <c r="F21">
        <f>D21-18</f>
        <v>27.4</v>
      </c>
    </row>
    <row r="24" spans="2:6" x14ac:dyDescent="0.15">
      <c r="C24">
        <v>21</v>
      </c>
      <c r="D24">
        <v>2</v>
      </c>
      <c r="E24">
        <f>C24*D24</f>
        <v>42</v>
      </c>
    </row>
    <row r="25" spans="2:6" x14ac:dyDescent="0.15">
      <c r="C25">
        <v>41.7</v>
      </c>
      <c r="D25">
        <v>2</v>
      </c>
      <c r="E25">
        <f>C25*D25</f>
        <v>83.4</v>
      </c>
    </row>
    <row r="26" spans="2:6" x14ac:dyDescent="0.15">
      <c r="C26">
        <v>109</v>
      </c>
      <c r="D26">
        <v>1</v>
      </c>
      <c r="E26">
        <f>C26*D26</f>
        <v>109</v>
      </c>
    </row>
    <row r="28" spans="2:6" x14ac:dyDescent="0.15">
      <c r="E28">
        <f>SUM(E24:E26)</f>
        <v>234.4</v>
      </c>
    </row>
    <row r="29" spans="2:6" x14ac:dyDescent="0.15">
      <c r="E29">
        <v>685</v>
      </c>
    </row>
    <row r="30" spans="2:6" x14ac:dyDescent="0.15">
      <c r="E30">
        <v>-80</v>
      </c>
    </row>
    <row r="31" spans="2:6" x14ac:dyDescent="0.15">
      <c r="E31">
        <f>SUM(E28:E30)</f>
        <v>839.4</v>
      </c>
    </row>
    <row r="32" spans="2:6" x14ac:dyDescent="0.15">
      <c r="E32">
        <f>E31*1.2</f>
        <v>1007.28</v>
      </c>
    </row>
    <row r="34" spans="2:4" x14ac:dyDescent="0.15">
      <c r="B34" t="s">
        <v>36</v>
      </c>
      <c r="C34">
        <v>9.3000000000000007</v>
      </c>
      <c r="D34" t="s">
        <v>28</v>
      </c>
    </row>
    <row r="35" spans="2:4" x14ac:dyDescent="0.15">
      <c r="B35" t="s">
        <v>29</v>
      </c>
      <c r="C35">
        <f>C34*2</f>
        <v>18.600000000000001</v>
      </c>
      <c r="D35" t="s">
        <v>30</v>
      </c>
    </row>
    <row r="38" spans="2:4" x14ac:dyDescent="0.15">
      <c r="B38" t="s">
        <v>26</v>
      </c>
      <c r="C38" s="1">
        <v>10</v>
      </c>
      <c r="D38" t="s">
        <v>27</v>
      </c>
    </row>
    <row r="39" spans="2:4" x14ac:dyDescent="0.15">
      <c r="B39" t="s">
        <v>31</v>
      </c>
      <c r="C39">
        <f>C38/60*C35*1000</f>
        <v>3100</v>
      </c>
      <c r="D39" t="s">
        <v>33</v>
      </c>
    </row>
    <row r="40" spans="2:4" x14ac:dyDescent="0.15">
      <c r="B40" t="s">
        <v>40</v>
      </c>
      <c r="C40">
        <f>C39/0.7</f>
        <v>4428.5714285714284</v>
      </c>
      <c r="D40" t="s">
        <v>33</v>
      </c>
    </row>
    <row r="42" spans="2:4" x14ac:dyDescent="0.15">
      <c r="B42" t="s">
        <v>32</v>
      </c>
      <c r="C42" s="1">
        <v>2000</v>
      </c>
      <c r="D42" t="s">
        <v>33</v>
      </c>
    </row>
    <row r="43" spans="2:4" x14ac:dyDescent="0.15">
      <c r="B43" t="s">
        <v>34</v>
      </c>
      <c r="C43">
        <f>C42/1000/C35*60</f>
        <v>6.4516129032258061</v>
      </c>
      <c r="D43" t="s">
        <v>35</v>
      </c>
    </row>
    <row r="44" spans="2:4" x14ac:dyDescent="0.15">
      <c r="B44" t="s">
        <v>40</v>
      </c>
      <c r="C44">
        <f>C43*0.7</f>
        <v>4.5161290322580641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3"/>
  <sheetViews>
    <sheetView workbookViewId="0">
      <selection activeCell="M9" sqref="M9"/>
    </sheetView>
  </sheetViews>
  <sheetFormatPr defaultRowHeight="13.5" x14ac:dyDescent="0.15"/>
  <sheetData>
    <row r="2" spans="2:11" x14ac:dyDescent="0.15">
      <c r="E2" t="s">
        <v>164</v>
      </c>
      <c r="F2">
        <v>7.4</v>
      </c>
    </row>
    <row r="3" spans="2:11" x14ac:dyDescent="0.15">
      <c r="B3" t="s">
        <v>16</v>
      </c>
      <c r="C3">
        <v>1.05</v>
      </c>
      <c r="D3" t="s">
        <v>150</v>
      </c>
      <c r="G3" t="s">
        <v>154</v>
      </c>
      <c r="H3" t="s">
        <v>156</v>
      </c>
      <c r="I3" t="s">
        <v>163</v>
      </c>
      <c r="J3" t="s">
        <v>165</v>
      </c>
      <c r="K3" t="s">
        <v>166</v>
      </c>
    </row>
    <row r="4" spans="2:11" x14ac:dyDescent="0.15">
      <c r="B4" t="s">
        <v>146</v>
      </c>
      <c r="G4">
        <v>0</v>
      </c>
      <c r="H4" t="e">
        <f>1/$C$6*G4</f>
        <v>#DIV/0!</v>
      </c>
      <c r="I4" t="e">
        <f>1/C5*($F$2-($C$3/$C$6)*G4)</f>
        <v>#DIV/0!</v>
      </c>
      <c r="J4" t="e">
        <f>G4*I4</f>
        <v>#DIV/0!</v>
      </c>
      <c r="K4" t="e">
        <f>J4/($F$2*H4)</f>
        <v>#DIV/0!</v>
      </c>
    </row>
    <row r="5" spans="2:11" x14ac:dyDescent="0.15">
      <c r="B5" t="s">
        <v>147</v>
      </c>
      <c r="D5" t="s">
        <v>159</v>
      </c>
      <c r="G5">
        <v>1E-3</v>
      </c>
      <c r="H5" t="e">
        <f t="shared" ref="H5:H23" si="0">1/$C$6*G5</f>
        <v>#DIV/0!</v>
      </c>
      <c r="I5" t="e">
        <f t="shared" ref="I5:I23" si="1">1/C6*($F$2-($C$3/$C$6)*G5)</f>
        <v>#DIV/0!</v>
      </c>
      <c r="J5" t="e">
        <f t="shared" ref="J5:J23" si="2">G5*I5</f>
        <v>#DIV/0!</v>
      </c>
      <c r="K5" t="e">
        <f t="shared" ref="K5:K23" si="3">J5/($F$2*H5)</f>
        <v>#DIV/0!</v>
      </c>
    </row>
    <row r="6" spans="2:11" x14ac:dyDescent="0.15">
      <c r="B6" t="s">
        <v>148</v>
      </c>
      <c r="D6" t="s">
        <v>157</v>
      </c>
      <c r="G6">
        <v>2E-3</v>
      </c>
      <c r="H6" t="e">
        <f t="shared" si="0"/>
        <v>#DIV/0!</v>
      </c>
      <c r="I6" t="e">
        <f t="shared" si="1"/>
        <v>#DIV/0!</v>
      </c>
      <c r="J6" t="e">
        <f t="shared" si="2"/>
        <v>#DIV/0!</v>
      </c>
      <c r="K6" t="e">
        <f t="shared" si="3"/>
        <v>#DIV/0!</v>
      </c>
    </row>
    <row r="7" spans="2:11" x14ac:dyDescent="0.15">
      <c r="B7" t="s">
        <v>144</v>
      </c>
      <c r="C7">
        <v>2.1999999999999999E-2</v>
      </c>
      <c r="D7" t="s">
        <v>149</v>
      </c>
      <c r="G7">
        <v>3.0000000000000001E-3</v>
      </c>
      <c r="H7" t="e">
        <f t="shared" si="0"/>
        <v>#DIV/0!</v>
      </c>
      <c r="I7" t="e">
        <f t="shared" si="1"/>
        <v>#DIV/0!</v>
      </c>
      <c r="J7" t="e">
        <f t="shared" si="2"/>
        <v>#DIV/0!</v>
      </c>
      <c r="K7" t="e">
        <f t="shared" si="3"/>
        <v>#DIV/0!</v>
      </c>
    </row>
    <row r="8" spans="2:11" x14ac:dyDescent="0.15">
      <c r="B8" t="s">
        <v>151</v>
      </c>
      <c r="C8">
        <v>0.4</v>
      </c>
      <c r="D8" t="s">
        <v>152</v>
      </c>
      <c r="G8">
        <v>4.0000000000000001E-3</v>
      </c>
      <c r="H8" t="e">
        <f t="shared" si="0"/>
        <v>#DIV/0!</v>
      </c>
      <c r="I8" t="e">
        <f t="shared" si="1"/>
        <v>#DIV/0!</v>
      </c>
      <c r="J8" t="e">
        <f t="shared" si="2"/>
        <v>#DIV/0!</v>
      </c>
      <c r="K8" t="e">
        <f t="shared" si="3"/>
        <v>#DIV/0!</v>
      </c>
    </row>
    <row r="9" spans="2:11" x14ac:dyDescent="0.15">
      <c r="B9" t="s">
        <v>153</v>
      </c>
      <c r="C9">
        <v>189</v>
      </c>
      <c r="D9" t="s">
        <v>145</v>
      </c>
      <c r="G9">
        <v>5.0000000000000001E-3</v>
      </c>
      <c r="H9" t="e">
        <f t="shared" si="0"/>
        <v>#DIV/0!</v>
      </c>
      <c r="I9" t="e">
        <f t="shared" si="1"/>
        <v>#DIV/0!</v>
      </c>
      <c r="J9" t="e">
        <f t="shared" si="2"/>
        <v>#DIV/0!</v>
      </c>
      <c r="K9" t="e">
        <f t="shared" si="3"/>
        <v>#DIV/0!</v>
      </c>
    </row>
    <row r="10" spans="2:11" x14ac:dyDescent="0.15">
      <c r="C10">
        <f>C9/1000*9.81/100</f>
        <v>1.8540899999999999E-2</v>
      </c>
      <c r="D10" t="s">
        <v>155</v>
      </c>
      <c r="G10">
        <v>6.0000000000000001E-3</v>
      </c>
      <c r="H10" t="e">
        <f t="shared" si="0"/>
        <v>#DIV/0!</v>
      </c>
      <c r="I10" t="e">
        <f t="shared" si="1"/>
        <v>#DIV/0!</v>
      </c>
      <c r="J10" t="e">
        <f t="shared" si="2"/>
        <v>#DIV/0!</v>
      </c>
      <c r="K10" t="e">
        <f t="shared" si="3"/>
        <v>#DIV/0!</v>
      </c>
    </row>
    <row r="11" spans="2:11" x14ac:dyDescent="0.15">
      <c r="B11" t="s">
        <v>160</v>
      </c>
      <c r="C11">
        <v>5.2</v>
      </c>
      <c r="D11" t="s">
        <v>161</v>
      </c>
      <c r="G11">
        <v>7.0000000000000001E-3</v>
      </c>
      <c r="H11" t="e">
        <f t="shared" si="0"/>
        <v>#DIV/0!</v>
      </c>
      <c r="I11" t="e">
        <f t="shared" si="1"/>
        <v>#DIV/0!</v>
      </c>
      <c r="J11" t="e">
        <f t="shared" si="2"/>
        <v>#DIV/0!</v>
      </c>
      <c r="K11" t="e">
        <f t="shared" si="3"/>
        <v>#DIV/0!</v>
      </c>
    </row>
    <row r="12" spans="2:11" x14ac:dyDescent="0.15">
      <c r="C12">
        <f>C11/1000</f>
        <v>5.1999999999999998E-3</v>
      </c>
      <c r="D12" t="s">
        <v>162</v>
      </c>
      <c r="G12">
        <v>8.0000000000000002E-3</v>
      </c>
      <c r="H12" t="e">
        <f t="shared" si="0"/>
        <v>#DIV/0!</v>
      </c>
      <c r="I12" t="e">
        <f t="shared" si="1"/>
        <v>#DIV/0!</v>
      </c>
      <c r="J12" t="e">
        <f t="shared" si="2"/>
        <v>#DIV/0!</v>
      </c>
      <c r="K12" t="e">
        <f t="shared" si="3"/>
        <v>#DIV/0!</v>
      </c>
    </row>
    <row r="13" spans="2:11" x14ac:dyDescent="0.15">
      <c r="G13">
        <v>8.9999999999999993E-3</v>
      </c>
      <c r="H13" t="e">
        <f t="shared" si="0"/>
        <v>#DIV/0!</v>
      </c>
      <c r="I13" t="e">
        <f t="shared" si="1"/>
        <v>#DIV/0!</v>
      </c>
      <c r="J13" t="e">
        <f t="shared" si="2"/>
        <v>#DIV/0!</v>
      </c>
      <c r="K13" t="e">
        <f t="shared" si="3"/>
        <v>#DIV/0!</v>
      </c>
    </row>
    <row r="14" spans="2:11" x14ac:dyDescent="0.15">
      <c r="G14">
        <v>0.01</v>
      </c>
      <c r="H14" t="e">
        <f t="shared" si="0"/>
        <v>#DIV/0!</v>
      </c>
      <c r="I14" t="e">
        <f t="shared" si="1"/>
        <v>#DIV/0!</v>
      </c>
      <c r="J14" t="e">
        <f t="shared" si="2"/>
        <v>#DIV/0!</v>
      </c>
      <c r="K14" t="e">
        <f t="shared" si="3"/>
        <v>#DIV/0!</v>
      </c>
    </row>
    <row r="15" spans="2:11" x14ac:dyDescent="0.15">
      <c r="G15">
        <v>1.0999999999999999E-2</v>
      </c>
      <c r="H15" t="e">
        <f t="shared" si="0"/>
        <v>#DIV/0!</v>
      </c>
      <c r="I15" t="e">
        <f t="shared" si="1"/>
        <v>#DIV/0!</v>
      </c>
      <c r="J15" t="e">
        <f t="shared" si="2"/>
        <v>#DIV/0!</v>
      </c>
      <c r="K15" t="e">
        <f t="shared" si="3"/>
        <v>#DIV/0!</v>
      </c>
    </row>
    <row r="16" spans="2:11" x14ac:dyDescent="0.15">
      <c r="G16">
        <v>1.2E-2</v>
      </c>
      <c r="H16" t="e">
        <f t="shared" si="0"/>
        <v>#DIV/0!</v>
      </c>
      <c r="I16" t="e">
        <f t="shared" si="1"/>
        <v>#DIV/0!</v>
      </c>
      <c r="J16" t="e">
        <f t="shared" si="2"/>
        <v>#DIV/0!</v>
      </c>
      <c r="K16" t="e">
        <f t="shared" si="3"/>
        <v>#DIV/0!</v>
      </c>
    </row>
    <row r="17" spans="7:11" x14ac:dyDescent="0.15">
      <c r="G17">
        <v>1.2999999999999999E-2</v>
      </c>
      <c r="H17" t="e">
        <f t="shared" si="0"/>
        <v>#DIV/0!</v>
      </c>
      <c r="I17" t="e">
        <f t="shared" si="1"/>
        <v>#DIV/0!</v>
      </c>
      <c r="J17" t="e">
        <f t="shared" si="2"/>
        <v>#DIV/0!</v>
      </c>
      <c r="K17" t="e">
        <f t="shared" si="3"/>
        <v>#DIV/0!</v>
      </c>
    </row>
    <row r="18" spans="7:11" x14ac:dyDescent="0.15">
      <c r="G18">
        <v>1.4E-2</v>
      </c>
      <c r="H18" t="e">
        <f t="shared" si="0"/>
        <v>#DIV/0!</v>
      </c>
      <c r="I18" t="e">
        <f t="shared" si="1"/>
        <v>#DIV/0!</v>
      </c>
      <c r="J18" t="e">
        <f t="shared" si="2"/>
        <v>#DIV/0!</v>
      </c>
      <c r="K18" t="e">
        <f t="shared" si="3"/>
        <v>#DIV/0!</v>
      </c>
    </row>
    <row r="19" spans="7:11" x14ac:dyDescent="0.15">
      <c r="G19">
        <v>1.4999999999999999E-2</v>
      </c>
      <c r="H19" t="e">
        <f t="shared" si="0"/>
        <v>#DIV/0!</v>
      </c>
      <c r="I19" t="e">
        <f t="shared" si="1"/>
        <v>#DIV/0!</v>
      </c>
      <c r="J19" t="e">
        <f t="shared" si="2"/>
        <v>#DIV/0!</v>
      </c>
      <c r="K19" t="e">
        <f t="shared" si="3"/>
        <v>#DIV/0!</v>
      </c>
    </row>
    <row r="20" spans="7:11" x14ac:dyDescent="0.15">
      <c r="G20">
        <v>1.6E-2</v>
      </c>
      <c r="H20" t="e">
        <f t="shared" si="0"/>
        <v>#DIV/0!</v>
      </c>
      <c r="I20" t="e">
        <f t="shared" si="1"/>
        <v>#DIV/0!</v>
      </c>
      <c r="J20" t="e">
        <f t="shared" si="2"/>
        <v>#DIV/0!</v>
      </c>
      <c r="K20" t="e">
        <f t="shared" si="3"/>
        <v>#DIV/0!</v>
      </c>
    </row>
    <row r="21" spans="7:11" x14ac:dyDescent="0.15">
      <c r="G21">
        <v>1.7000000000000001E-2</v>
      </c>
      <c r="H21" t="e">
        <f t="shared" si="0"/>
        <v>#DIV/0!</v>
      </c>
      <c r="I21" t="e">
        <f t="shared" si="1"/>
        <v>#DIV/0!</v>
      </c>
      <c r="J21" t="e">
        <f t="shared" si="2"/>
        <v>#DIV/0!</v>
      </c>
      <c r="K21" t="e">
        <f t="shared" si="3"/>
        <v>#DIV/0!</v>
      </c>
    </row>
    <row r="22" spans="7:11" x14ac:dyDescent="0.15">
      <c r="G22">
        <v>1.7999999999999999E-2</v>
      </c>
      <c r="H22" t="e">
        <f t="shared" si="0"/>
        <v>#DIV/0!</v>
      </c>
      <c r="I22" t="e">
        <f t="shared" si="1"/>
        <v>#DIV/0!</v>
      </c>
      <c r="J22" t="e">
        <f t="shared" si="2"/>
        <v>#DIV/0!</v>
      </c>
      <c r="K22" t="e">
        <f t="shared" si="3"/>
        <v>#DIV/0!</v>
      </c>
    </row>
    <row r="23" spans="7:11" x14ac:dyDescent="0.15">
      <c r="G23">
        <f>C10</f>
        <v>1.8540899999999999E-2</v>
      </c>
      <c r="H23" t="e">
        <f t="shared" si="0"/>
        <v>#DIV/0!</v>
      </c>
      <c r="I23" t="e">
        <f t="shared" si="1"/>
        <v>#DIV/0!</v>
      </c>
      <c r="J23" t="e">
        <f t="shared" si="2"/>
        <v>#DIV/0!</v>
      </c>
      <c r="K23" t="e">
        <f t="shared" si="3"/>
        <v>#DIV/0!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5"/>
  <sheetViews>
    <sheetView zoomScale="80" zoomScaleNormal="80" workbookViewId="0">
      <selection activeCell="P44" sqref="P44"/>
    </sheetView>
  </sheetViews>
  <sheetFormatPr defaultRowHeight="13.5" x14ac:dyDescent="0.15"/>
  <cols>
    <col min="3" max="3" width="10.5" bestFit="1" customWidth="1"/>
  </cols>
  <sheetData>
    <row r="2" spans="1:6" x14ac:dyDescent="0.15">
      <c r="B2" t="s">
        <v>228</v>
      </c>
      <c r="C2" s="35">
        <v>41667</v>
      </c>
    </row>
    <row r="5" spans="1:6" x14ac:dyDescent="0.15">
      <c r="B5" t="s">
        <v>227</v>
      </c>
      <c r="C5" t="s">
        <v>226</v>
      </c>
      <c r="D5" t="s">
        <v>225</v>
      </c>
      <c r="E5" t="s">
        <v>224</v>
      </c>
      <c r="F5" t="s">
        <v>230</v>
      </c>
    </row>
    <row r="6" spans="1:6" x14ac:dyDescent="0.15">
      <c r="A6">
        <f>B6/60</f>
        <v>0</v>
      </c>
      <c r="B6">
        <v>0</v>
      </c>
      <c r="C6">
        <v>168</v>
      </c>
      <c r="D6">
        <f t="shared" ref="D6:D19" si="0">C6*60/2</f>
        <v>5040</v>
      </c>
      <c r="E6">
        <v>612</v>
      </c>
      <c r="F6">
        <f>E6*9.80665/1000</f>
        <v>6.0016697999999993</v>
      </c>
    </row>
    <row r="7" spans="1:6" x14ac:dyDescent="0.15">
      <c r="B7">
        <v>30</v>
      </c>
      <c r="C7">
        <v>166.29</v>
      </c>
      <c r="D7">
        <f t="shared" si="0"/>
        <v>4988.7</v>
      </c>
      <c r="E7">
        <v>585.5</v>
      </c>
      <c r="F7">
        <f t="shared" ref="F7:F25" si="1">E7*9.80665/1000</f>
        <v>5.741793575</v>
      </c>
    </row>
    <row r="8" spans="1:6" x14ac:dyDescent="0.15">
      <c r="A8">
        <f t="shared" ref="A8:A25" si="2">B8/60</f>
        <v>1</v>
      </c>
      <c r="B8">
        <v>60</v>
      </c>
      <c r="C8">
        <v>164.46</v>
      </c>
      <c r="D8">
        <f t="shared" si="0"/>
        <v>4933.8</v>
      </c>
      <c r="E8">
        <v>566.5</v>
      </c>
      <c r="F8">
        <f t="shared" si="1"/>
        <v>5.5554672249999992</v>
      </c>
    </row>
    <row r="9" spans="1:6" x14ac:dyDescent="0.15">
      <c r="A9">
        <f t="shared" si="2"/>
        <v>2</v>
      </c>
      <c r="B9">
        <v>120</v>
      </c>
      <c r="C9">
        <v>161.31</v>
      </c>
      <c r="D9">
        <f t="shared" si="0"/>
        <v>4839.3</v>
      </c>
      <c r="E9">
        <v>556.5</v>
      </c>
      <c r="F9">
        <f t="shared" si="1"/>
        <v>5.4574007249999994</v>
      </c>
    </row>
    <row r="10" spans="1:6" x14ac:dyDescent="0.15">
      <c r="A10">
        <f t="shared" si="2"/>
        <v>3</v>
      </c>
      <c r="B10">
        <v>180</v>
      </c>
      <c r="C10">
        <v>159.91</v>
      </c>
      <c r="D10">
        <f t="shared" si="0"/>
        <v>4797.3</v>
      </c>
      <c r="E10">
        <v>544.79999999999995</v>
      </c>
      <c r="F10">
        <f t="shared" si="1"/>
        <v>5.3426629199999986</v>
      </c>
    </row>
    <row r="11" spans="1:6" x14ac:dyDescent="0.15">
      <c r="A11">
        <f t="shared" si="2"/>
        <v>4</v>
      </c>
      <c r="B11">
        <v>240</v>
      </c>
      <c r="C11">
        <v>158.80000000000001</v>
      </c>
      <c r="D11">
        <f t="shared" si="0"/>
        <v>4764</v>
      </c>
      <c r="E11">
        <v>530.5</v>
      </c>
      <c r="F11">
        <f t="shared" si="1"/>
        <v>5.202427825</v>
      </c>
    </row>
    <row r="12" spans="1:6" x14ac:dyDescent="0.15">
      <c r="A12">
        <f t="shared" si="2"/>
        <v>5</v>
      </c>
      <c r="B12">
        <v>300</v>
      </c>
      <c r="C12">
        <v>157.13999999999999</v>
      </c>
      <c r="D12">
        <f t="shared" si="0"/>
        <v>4714.2</v>
      </c>
      <c r="E12">
        <v>526</v>
      </c>
      <c r="F12">
        <f t="shared" si="1"/>
        <v>5.1582979</v>
      </c>
    </row>
    <row r="13" spans="1:6" x14ac:dyDescent="0.15">
      <c r="A13">
        <f t="shared" si="2"/>
        <v>6</v>
      </c>
      <c r="B13">
        <v>360</v>
      </c>
      <c r="C13">
        <v>156.41</v>
      </c>
      <c r="D13">
        <f t="shared" si="0"/>
        <v>4692.3</v>
      </c>
      <c r="E13">
        <v>518.5</v>
      </c>
      <c r="F13">
        <f t="shared" si="1"/>
        <v>5.0847480249999997</v>
      </c>
    </row>
    <row r="14" spans="1:6" x14ac:dyDescent="0.15">
      <c r="A14">
        <f t="shared" si="2"/>
        <v>7</v>
      </c>
      <c r="B14">
        <v>420</v>
      </c>
      <c r="C14">
        <v>154.9</v>
      </c>
      <c r="D14">
        <f t="shared" si="0"/>
        <v>4647</v>
      </c>
      <c r="E14">
        <v>517</v>
      </c>
      <c r="F14">
        <f t="shared" si="1"/>
        <v>5.07003805</v>
      </c>
    </row>
    <row r="15" spans="1:6" x14ac:dyDescent="0.15">
      <c r="A15">
        <f t="shared" si="2"/>
        <v>8</v>
      </c>
      <c r="B15">
        <v>480</v>
      </c>
      <c r="C15">
        <v>154.05000000000001</v>
      </c>
      <c r="D15">
        <f t="shared" si="0"/>
        <v>4621.5</v>
      </c>
      <c r="E15">
        <v>524.79999999999995</v>
      </c>
      <c r="F15">
        <f t="shared" si="1"/>
        <v>5.146529919999999</v>
      </c>
    </row>
    <row r="16" spans="1:6" x14ac:dyDescent="0.15">
      <c r="A16">
        <f t="shared" si="2"/>
        <v>9</v>
      </c>
      <c r="B16">
        <v>540</v>
      </c>
      <c r="C16">
        <v>154.6</v>
      </c>
      <c r="D16">
        <f t="shared" si="0"/>
        <v>4638</v>
      </c>
      <c r="E16">
        <v>506.5</v>
      </c>
      <c r="F16">
        <f t="shared" si="1"/>
        <v>4.9670682250000002</v>
      </c>
    </row>
    <row r="17" spans="1:10" x14ac:dyDescent="0.15">
      <c r="A17">
        <f t="shared" si="2"/>
        <v>10</v>
      </c>
      <c r="B17">
        <v>600</v>
      </c>
      <c r="C17">
        <v>154.53</v>
      </c>
      <c r="D17">
        <f t="shared" si="0"/>
        <v>4635.8999999999996</v>
      </c>
      <c r="E17">
        <v>509</v>
      </c>
      <c r="F17">
        <f t="shared" si="1"/>
        <v>4.9915848499999989</v>
      </c>
    </row>
    <row r="18" spans="1:10" x14ac:dyDescent="0.15">
      <c r="A18">
        <f t="shared" si="2"/>
        <v>11</v>
      </c>
      <c r="B18">
        <v>660</v>
      </c>
      <c r="C18">
        <v>153.76</v>
      </c>
      <c r="D18">
        <f t="shared" si="0"/>
        <v>4612.7999999999993</v>
      </c>
      <c r="E18">
        <v>499.5</v>
      </c>
      <c r="F18">
        <f t="shared" si="1"/>
        <v>4.8984216749999998</v>
      </c>
      <c r="H18">
        <v>450</v>
      </c>
      <c r="I18">
        <f>H18*9.81/1000</f>
        <v>4.4145000000000003</v>
      </c>
      <c r="J18">
        <v>4.4000000000000004</v>
      </c>
    </row>
    <row r="19" spans="1:10" x14ac:dyDescent="0.15">
      <c r="A19">
        <f t="shared" si="2"/>
        <v>12</v>
      </c>
      <c r="B19">
        <v>720</v>
      </c>
      <c r="C19">
        <v>152.49</v>
      </c>
      <c r="D19">
        <f t="shared" si="0"/>
        <v>4574.7000000000007</v>
      </c>
      <c r="E19">
        <v>490</v>
      </c>
      <c r="F19">
        <f t="shared" si="1"/>
        <v>4.8052584999999999</v>
      </c>
      <c r="H19">
        <v>500</v>
      </c>
      <c r="I19">
        <f>H19*9.81/1000</f>
        <v>4.9050000000000002</v>
      </c>
      <c r="J19">
        <v>4.9000000000000004</v>
      </c>
    </row>
    <row r="20" spans="1:10" x14ac:dyDescent="0.15">
      <c r="A20">
        <f t="shared" si="2"/>
        <v>13</v>
      </c>
      <c r="B20">
        <v>780</v>
      </c>
      <c r="C20">
        <v>147.72999999999999</v>
      </c>
      <c r="D20">
        <f t="shared" ref="D20:D23" si="3">C20*60/2</f>
        <v>4431.8999999999996</v>
      </c>
      <c r="E20">
        <v>471</v>
      </c>
      <c r="F20">
        <f t="shared" si="1"/>
        <v>4.61893215</v>
      </c>
    </row>
    <row r="21" spans="1:10" x14ac:dyDescent="0.15">
      <c r="A21">
        <f t="shared" si="2"/>
        <v>13.166666666666666</v>
      </c>
      <c r="B21">
        <v>790</v>
      </c>
      <c r="C21">
        <v>147.11000000000001</v>
      </c>
      <c r="D21">
        <f t="shared" si="3"/>
        <v>4413.3</v>
      </c>
      <c r="E21">
        <v>452.5</v>
      </c>
      <c r="F21">
        <f t="shared" si="1"/>
        <v>4.4375091249999992</v>
      </c>
    </row>
    <row r="22" spans="1:10" x14ac:dyDescent="0.15">
      <c r="A22">
        <f t="shared" si="2"/>
        <v>13.333333333333334</v>
      </c>
      <c r="B22">
        <v>800</v>
      </c>
      <c r="C22">
        <v>143.59</v>
      </c>
      <c r="D22">
        <f t="shared" si="3"/>
        <v>4307.7</v>
      </c>
      <c r="E22">
        <v>429.5</v>
      </c>
      <c r="F22">
        <f t="shared" si="1"/>
        <v>4.2119561749999992</v>
      </c>
    </row>
    <row r="23" spans="1:10" x14ac:dyDescent="0.15">
      <c r="A23">
        <f t="shared" si="2"/>
        <v>13.5</v>
      </c>
      <c r="B23">
        <v>810</v>
      </c>
      <c r="C23">
        <v>117.1</v>
      </c>
      <c r="D23">
        <f t="shared" si="3"/>
        <v>3513</v>
      </c>
      <c r="E23">
        <v>289.5</v>
      </c>
      <c r="F23">
        <f t="shared" si="1"/>
        <v>2.8390251749999997</v>
      </c>
    </row>
    <row r="24" spans="1:10" x14ac:dyDescent="0.15">
      <c r="A24">
        <f t="shared" si="2"/>
        <v>14</v>
      </c>
      <c r="B24">
        <v>840</v>
      </c>
      <c r="C24">
        <v>49.65</v>
      </c>
      <c r="D24">
        <f>C24*60/2</f>
        <v>1489.5</v>
      </c>
      <c r="E24">
        <v>46.5</v>
      </c>
      <c r="F24">
        <f t="shared" si="1"/>
        <v>0.45600922499999996</v>
      </c>
    </row>
    <row r="25" spans="1:10" x14ac:dyDescent="0.15">
      <c r="A25">
        <f t="shared" si="2"/>
        <v>14.366666666666667</v>
      </c>
      <c r="B25">
        <v>862</v>
      </c>
      <c r="C25">
        <v>0</v>
      </c>
      <c r="D25">
        <f>C25*60/2</f>
        <v>0</v>
      </c>
      <c r="E25">
        <v>0</v>
      </c>
      <c r="F25">
        <f t="shared" si="1"/>
        <v>0</v>
      </c>
    </row>
  </sheetData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9" zoomScale="130" zoomScaleNormal="130" workbookViewId="0">
      <selection activeCell="B69" sqref="B69"/>
    </sheetView>
  </sheetViews>
  <sheetFormatPr defaultRowHeight="13.5" x14ac:dyDescent="0.15"/>
  <sheetData/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14"/>
  <sheetViews>
    <sheetView workbookViewId="0">
      <selection activeCell="F6" sqref="F6"/>
    </sheetView>
  </sheetViews>
  <sheetFormatPr defaultRowHeight="13.5" x14ac:dyDescent="0.15"/>
  <cols>
    <col min="5" max="5" width="11.5" customWidth="1"/>
  </cols>
  <sheetData>
    <row r="5" spans="2:6" x14ac:dyDescent="0.15">
      <c r="B5">
        <v>4130</v>
      </c>
      <c r="C5">
        <v>1197</v>
      </c>
      <c r="E5" t="s">
        <v>96</v>
      </c>
      <c r="F5">
        <v>13000</v>
      </c>
    </row>
    <row r="6" spans="2:6" x14ac:dyDescent="0.15">
      <c r="B6">
        <v>6200</v>
      </c>
      <c r="C6">
        <v>1252</v>
      </c>
      <c r="E6" t="s">
        <v>244</v>
      </c>
      <c r="F6">
        <f>F5*0.0309+1057.3</f>
        <v>1459</v>
      </c>
    </row>
    <row r="7" spans="2:6" x14ac:dyDescent="0.15">
      <c r="B7">
        <v>6020</v>
      </c>
      <c r="C7">
        <v>1245</v>
      </c>
    </row>
    <row r="8" spans="2:6" x14ac:dyDescent="0.15">
      <c r="B8">
        <v>8120</v>
      </c>
      <c r="C8">
        <v>1305</v>
      </c>
    </row>
    <row r="9" spans="2:6" x14ac:dyDescent="0.15">
      <c r="B9">
        <v>9890</v>
      </c>
      <c r="C9">
        <v>1350</v>
      </c>
    </row>
    <row r="10" spans="2:6" x14ac:dyDescent="0.15">
      <c r="B10">
        <v>11420</v>
      </c>
      <c r="C10">
        <v>1398</v>
      </c>
    </row>
    <row r="11" spans="2:6" x14ac:dyDescent="0.15">
      <c r="B11">
        <v>12900</v>
      </c>
      <c r="C11">
        <v>1449</v>
      </c>
    </row>
    <row r="12" spans="2:6" x14ac:dyDescent="0.15">
      <c r="B12">
        <v>14003</v>
      </c>
      <c r="C12">
        <v>1497</v>
      </c>
    </row>
    <row r="13" spans="2:6" x14ac:dyDescent="0.15">
      <c r="B13">
        <v>16020</v>
      </c>
      <c r="C13">
        <v>1555</v>
      </c>
    </row>
    <row r="14" spans="2:6" x14ac:dyDescent="0.15">
      <c r="B14">
        <v>16930</v>
      </c>
      <c r="C14">
        <v>1595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Sheet1</vt:lpstr>
      <vt:lpstr>A20-22LEVO</vt:lpstr>
      <vt:lpstr>A20-30MEVO</vt:lpstr>
      <vt:lpstr>ZS2213-22</vt:lpstr>
      <vt:lpstr>ZS2209-30</vt:lpstr>
      <vt:lpstr>Z2213-24</vt:lpstr>
      <vt:lpstr>Z2209-32</vt:lpstr>
      <vt:lpstr>Graph</vt:lpstr>
      <vt:lpstr>Sheet8</vt:lpstr>
      <vt:lpstr>Sheet4</vt:lpstr>
      <vt:lpstr>静止推力測定</vt:lpstr>
      <vt:lpstr>卒論向け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</dc:creator>
  <cp:lastModifiedBy>Windows ユーザー</cp:lastModifiedBy>
  <cp:lastPrinted>2013-11-29T12:46:47Z</cp:lastPrinted>
  <dcterms:created xsi:type="dcterms:W3CDTF">2013-11-29T04:05:34Z</dcterms:created>
  <dcterms:modified xsi:type="dcterms:W3CDTF">2018-01-28T15:16:09Z</dcterms:modified>
</cp:coreProperties>
</file>